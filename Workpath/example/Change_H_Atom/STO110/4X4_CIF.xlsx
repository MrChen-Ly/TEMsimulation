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RunTemp\Drprobe\img\SrTiO_change_Hcoor\STO110\"/>
    </mc:Choice>
  </mc:AlternateContent>
  <xr:revisionPtr revIDLastSave="0" documentId="13_ncr:1_{1477E630-1E5A-48E2-96A5-58BA8546E35E}" xr6:coauthVersionLast="47" xr6:coauthVersionMax="47" xr10:uidLastSave="{00000000-0000-0000-0000-000000000000}"/>
  <bookViews>
    <workbookView xWindow="15" yWindow="15" windowWidth="28770" windowHeight="1509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3" l="1"/>
  <c r="G57" i="3"/>
  <c r="G42" i="3"/>
  <c r="G22" i="3"/>
  <c r="G7" i="3"/>
  <c r="G62" i="3"/>
  <c r="G56" i="3"/>
  <c r="G41" i="3"/>
  <c r="G21" i="3"/>
  <c r="G6" i="3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O89" i="1"/>
  <c r="N89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O60" i="1"/>
  <c r="N60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31" i="1"/>
  <c r="O31" i="2"/>
  <c r="P31" i="2"/>
  <c r="Q31" i="2"/>
  <c r="R31" i="2"/>
  <c r="S31" i="2"/>
  <c r="O32" i="2"/>
  <c r="P32" i="2"/>
  <c r="Q32" i="2"/>
  <c r="R32" i="2"/>
  <c r="S32" i="2"/>
  <c r="O33" i="2"/>
  <c r="P33" i="2"/>
  <c r="Q33" i="2"/>
  <c r="R33" i="2"/>
  <c r="S33" i="2"/>
  <c r="O34" i="2"/>
  <c r="P34" i="2"/>
  <c r="Q34" i="2"/>
  <c r="R34" i="2"/>
  <c r="S34" i="2"/>
  <c r="O35" i="2"/>
  <c r="P35" i="2"/>
  <c r="Q35" i="2"/>
  <c r="R35" i="2"/>
  <c r="S35" i="2"/>
  <c r="O36" i="2"/>
  <c r="P36" i="2"/>
  <c r="Q36" i="2"/>
  <c r="R36" i="2"/>
  <c r="S36" i="2"/>
  <c r="O37" i="2"/>
  <c r="P37" i="2"/>
  <c r="Q37" i="2"/>
  <c r="R37" i="2"/>
  <c r="S37" i="2"/>
  <c r="O38" i="2"/>
  <c r="P38" i="2"/>
  <c r="Q38" i="2"/>
  <c r="R38" i="2"/>
  <c r="S38" i="2"/>
  <c r="O39" i="2"/>
  <c r="P39" i="2"/>
  <c r="Q39" i="2"/>
  <c r="R39" i="2"/>
  <c r="S39" i="2"/>
  <c r="O40" i="2"/>
  <c r="P40" i="2"/>
  <c r="Q40" i="2"/>
  <c r="R40" i="2"/>
  <c r="S40" i="2"/>
  <c r="O41" i="2"/>
  <c r="P41" i="2"/>
  <c r="Q41" i="2"/>
  <c r="R41" i="2"/>
  <c r="S41" i="2"/>
  <c r="O42" i="2"/>
  <c r="P42" i="2"/>
  <c r="Q42" i="2"/>
  <c r="R42" i="2"/>
  <c r="S42" i="2"/>
  <c r="O43" i="2"/>
  <c r="P43" i="2"/>
  <c r="Q43" i="2"/>
  <c r="R43" i="2"/>
  <c r="S43" i="2"/>
  <c r="O44" i="2"/>
  <c r="P44" i="2"/>
  <c r="Q44" i="2"/>
  <c r="R44" i="2"/>
  <c r="S44" i="2"/>
  <c r="O45" i="2"/>
  <c r="P45" i="2"/>
  <c r="Q45" i="2"/>
  <c r="R45" i="2"/>
  <c r="S45" i="2"/>
  <c r="O46" i="2"/>
  <c r="P46" i="2"/>
  <c r="Q46" i="2"/>
  <c r="R46" i="2"/>
  <c r="S46" i="2"/>
  <c r="O47" i="2"/>
  <c r="P47" i="2"/>
  <c r="Q47" i="2"/>
  <c r="R47" i="2"/>
  <c r="S47" i="2"/>
  <c r="O48" i="2"/>
  <c r="P48" i="2"/>
  <c r="Q48" i="2"/>
  <c r="R48" i="2"/>
  <c r="S48" i="2"/>
  <c r="O49" i="2"/>
  <c r="P49" i="2"/>
  <c r="Q49" i="2"/>
  <c r="R49" i="2"/>
  <c r="S49" i="2"/>
  <c r="O50" i="2"/>
  <c r="P50" i="2"/>
  <c r="Q50" i="2"/>
  <c r="R50" i="2"/>
  <c r="S50" i="2"/>
  <c r="O51" i="2"/>
  <c r="P51" i="2"/>
  <c r="Q51" i="2"/>
  <c r="R51" i="2"/>
  <c r="S51" i="2"/>
  <c r="O52" i="2"/>
  <c r="P52" i="2"/>
  <c r="Q52" i="2"/>
  <c r="R52" i="2"/>
  <c r="S52" i="2"/>
  <c r="O53" i="2"/>
  <c r="P53" i="2"/>
  <c r="Q53" i="2"/>
  <c r="R53" i="2"/>
  <c r="S53" i="2"/>
  <c r="O54" i="2"/>
  <c r="P54" i="2"/>
  <c r="Q54" i="2"/>
  <c r="R54" i="2"/>
  <c r="S54" i="2"/>
  <c r="O55" i="2"/>
  <c r="P55" i="2"/>
  <c r="Q55" i="2"/>
  <c r="R55" i="2"/>
  <c r="S55" i="2"/>
  <c r="O56" i="2"/>
  <c r="P56" i="2"/>
  <c r="Q56" i="2"/>
  <c r="R56" i="2"/>
  <c r="S56" i="2"/>
  <c r="O57" i="2"/>
  <c r="P57" i="2"/>
  <c r="Q57" i="2"/>
  <c r="R57" i="2"/>
  <c r="S57" i="2"/>
  <c r="P30" i="2"/>
  <c r="Q30" i="2"/>
  <c r="R30" i="2"/>
  <c r="S30" i="2"/>
  <c r="O30" i="2"/>
  <c r="P2" i="2"/>
  <c r="Q2" i="2"/>
  <c r="R2" i="2"/>
  <c r="S2" i="2"/>
  <c r="P3" i="2"/>
  <c r="Q3" i="2"/>
  <c r="R3" i="2"/>
  <c r="S3" i="2"/>
  <c r="P4" i="2"/>
  <c r="Q4" i="2"/>
  <c r="R4" i="2"/>
  <c r="S4" i="2"/>
  <c r="P5" i="2"/>
  <c r="Q5" i="2"/>
  <c r="R5" i="2"/>
  <c r="S5" i="2"/>
  <c r="P6" i="2"/>
  <c r="Q6" i="2"/>
  <c r="R6" i="2"/>
  <c r="S6" i="2"/>
  <c r="P7" i="2"/>
  <c r="Q7" i="2"/>
  <c r="R7" i="2"/>
  <c r="S7" i="2"/>
  <c r="P8" i="2"/>
  <c r="Q8" i="2"/>
  <c r="R8" i="2"/>
  <c r="S8" i="2"/>
  <c r="P9" i="2"/>
  <c r="Q9" i="2"/>
  <c r="R9" i="2"/>
  <c r="S9" i="2"/>
  <c r="P10" i="2"/>
  <c r="Q10" i="2"/>
  <c r="R10" i="2"/>
  <c r="S10" i="2"/>
  <c r="P11" i="2"/>
  <c r="Q11" i="2"/>
  <c r="R11" i="2"/>
  <c r="S11" i="2"/>
  <c r="P12" i="2"/>
  <c r="Q12" i="2"/>
  <c r="R12" i="2"/>
  <c r="S12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P26" i="2"/>
  <c r="Q26" i="2"/>
  <c r="R26" i="2"/>
  <c r="S26" i="2"/>
  <c r="P27" i="2"/>
  <c r="Q27" i="2"/>
  <c r="R27" i="2"/>
  <c r="S27" i="2"/>
  <c r="P28" i="2"/>
  <c r="Q28" i="2"/>
  <c r="R28" i="2"/>
  <c r="S28" i="2"/>
  <c r="P29" i="2"/>
  <c r="Q29" i="2"/>
  <c r="R29" i="2"/>
  <c r="S2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2" i="2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3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O2" i="1"/>
  <c r="N2" i="1"/>
</calcChain>
</file>

<file path=xl/sharedStrings.xml><?xml version="1.0" encoding="utf-8"?>
<sst xmlns="http://schemas.openxmlformats.org/spreadsheetml/2006/main" count="2034" uniqueCount="243">
  <si>
    <t>H</t>
  </si>
  <si>
    <t>O</t>
  </si>
  <si>
    <t>Sr</t>
  </si>
  <si>
    <t>Ti</t>
  </si>
  <si>
    <t>loop_</t>
  </si>
  <si>
    <t xml:space="preserve">   _atom_site_label</t>
  </si>
  <si>
    <t xml:space="preserve">   _atom_site_occupancy</t>
  </si>
  <si>
    <t xml:space="preserve">   _atom_site_fract_x</t>
  </si>
  <si>
    <t xml:space="preserve">   _atom_site_fract_y</t>
  </si>
  <si>
    <t xml:space="preserve">   _atom_site_fract_z</t>
  </si>
  <si>
    <t xml:space="preserve">   _atom_site_adp_type</t>
  </si>
  <si>
    <t xml:space="preserve">   _atom_site_B_iso_or_equiv</t>
  </si>
  <si>
    <t xml:space="preserve">   _atom_site_type_symbol</t>
  </si>
  <si>
    <t>Biso</t>
  </si>
  <si>
    <t>020</t>
    <phoneticPr fontId="1" type="noConversion"/>
  </si>
  <si>
    <t>005</t>
    <phoneticPr fontId="1" type="noConversion"/>
  </si>
  <si>
    <t>H1</t>
    <phoneticPr fontId="1" type="noConversion"/>
  </si>
  <si>
    <t>Hcp</t>
    <phoneticPr fontId="1" type="noConversion"/>
  </si>
  <si>
    <t>H1+Hcp</t>
    <phoneticPr fontId="1" type="noConversion"/>
  </si>
  <si>
    <t>Without_H</t>
    <phoneticPr fontId="1" type="noConversion"/>
  </si>
  <si>
    <t>msa_STO_110_OUT_.prm</t>
  </si>
  <si>
    <t xml:space="preserve"> (0</t>
  </si>
  <si>
    <t>)</t>
  </si>
  <si>
    <t xml:space="preserve"> (1</t>
  </si>
  <si>
    <t xml:space="preserve"> (2</t>
  </si>
  <si>
    <t xml:space="preserve"> (3</t>
  </si>
  <si>
    <t xml:space="preserve"> (4</t>
  </si>
  <si>
    <t xml:space="preserve"> (5</t>
  </si>
  <si>
    <t xml:space="preserve"> 1)</t>
  </si>
  <si>
    <t xml:space="preserve"> 2)</t>
  </si>
  <si>
    <t xml:space="preserve"> 3)</t>
  </si>
  <si>
    <t xml:space="preserve"> 4)</t>
  </si>
  <si>
    <t xml:space="preserve"> 5)</t>
  </si>
  <si>
    <t>D</t>
  </si>
  <si>
    <t>\Data\CLY\Drprobe\workpath\prm\msa_STO_110_OUT_1.prm</t>
  </si>
  <si>
    <t xml:space="preserve"> [0]</t>
  </si>
  <si>
    <t xml:space="preserve"> []</t>
  </si>
  <si>
    <t>\Data\CLY\Drprobe\workpath\prm\msa_STO_110_OUT_2.prm</t>
  </si>
  <si>
    <t xml:space="preserve"> [1]</t>
  </si>
  <si>
    <t>\Data\CLY\Drprobe\workpath\prm\msa_STO_110_OUT_3.prm</t>
  </si>
  <si>
    <t xml:space="preserve"> [2]</t>
  </si>
  <si>
    <t>\Data\CLY\Drprobe\workpath\prm\msa_STO_110_OUT_4.prm</t>
  </si>
  <si>
    <t xml:space="preserve"> [3]</t>
  </si>
  <si>
    <t>\Data\CLY\Drprobe\workpath\prm\msa_STO_110_OUT_5.prm</t>
  </si>
  <si>
    <t xml:space="preserve"> [4]</t>
  </si>
  <si>
    <t>\Data\CLY\Drprobe\workpath\prm\msa_STO_110_OUT_6.prm</t>
  </si>
  <si>
    <t xml:space="preserve"> [5]</t>
  </si>
  <si>
    <t>\Data\CLY\Drprobe\workpath\prm\msa_STO_110_OUT_7.prm</t>
  </si>
  <si>
    <t>\Data\CLY\Drprobe\workpath\prm\msa_STO_110_OUT_8.prm</t>
  </si>
  <si>
    <t>\Data\CLY\Drprobe\workpath\prm\msa_STO_110_OUT_9.prm</t>
  </si>
  <si>
    <t>\Data\CLY\Drprobe\workpath\prm\msa_STO_110_OUT_10.prm</t>
  </si>
  <si>
    <t>\Data\CLY\Drprobe\workpath\prm\msa_STO_110_OUT_11.prm</t>
  </si>
  <si>
    <t>\Data\CLY\Drprobe\workpath\prm\msa_STO_110_OUT_12.prm</t>
  </si>
  <si>
    <t>\Data\CLY\Drprobe\workpath\prm\msa_STO_110_OUT_13.prm</t>
  </si>
  <si>
    <t>\Data\CLY\Drprobe\workpath\prm\msa_STO_110_OUT_14.prm</t>
  </si>
  <si>
    <t>\Data\CLY\Drprobe\workpath\prm\msa_STO_110_OUT_15.prm</t>
  </si>
  <si>
    <t>\Data\CLY\Drprobe\workpath\prm\msa_STO_110_OUT_16.prm</t>
  </si>
  <si>
    <t>\Data\CLY\Drprobe\workpath\prm\msa_STO_110_OUT_17.prm</t>
  </si>
  <si>
    <t>\Data\CLY\Drprobe\workpath\prm\msa_STO_110_OUT_18.prm</t>
  </si>
  <si>
    <t>\Data\CLY\Drprobe\workpath\prm\msa_STO_110_OUT_19.prm</t>
  </si>
  <si>
    <t>\Data\CLY\Drprobe\workpath\prm\msa_STO_110_OUT_20.prm</t>
  </si>
  <si>
    <t>\Data\CLY\Drprobe\workpath\prm\msa_STO_110_OUT_21.prm</t>
  </si>
  <si>
    <t>\Data\CLY\Drprobe\workpath\prm\msa_STO_110_OUT_22.prm</t>
  </si>
  <si>
    <t xml:space="preserve"> [1</t>
  </si>
  <si>
    <t xml:space="preserve"> 2]</t>
  </si>
  <si>
    <t>\Data\CLY\Drprobe\workpath\prm\msa_STO_110_OUT_23.prm</t>
  </si>
  <si>
    <t xml:space="preserve"> 3]</t>
  </si>
  <si>
    <t>\Data\CLY\Drprobe\workpath\prm\msa_STO_110_OUT_24.prm</t>
  </si>
  <si>
    <t xml:space="preserve"> 4]</t>
  </si>
  <si>
    <t>\Data\CLY\Drprobe\workpath\prm\msa_STO_110_OUT_25.prm</t>
  </si>
  <si>
    <t xml:space="preserve"> 5]</t>
  </si>
  <si>
    <t>\Data\CLY\Drprobe\workpath\prm\msa_STO_110_OUT_26.prm</t>
  </si>
  <si>
    <t xml:space="preserve"> [2</t>
  </si>
  <si>
    <t>\Data\CLY\Drprobe\workpath\prm\msa_STO_110_OUT_27.prm</t>
  </si>
  <si>
    <t>\Data\CLY\Drprobe\workpath\prm\msa_STO_110_OUT_28.prm</t>
  </si>
  <si>
    <t>\Data\CLY\Drprobe\workpath\prm\msa_STO_110_OUT_29.prm</t>
  </si>
  <si>
    <t xml:space="preserve"> [3</t>
  </si>
  <si>
    <t>\Data\CLY\Drprobe\workpath\prm\msa_STO_110_OUT_30.prm</t>
  </si>
  <si>
    <t>\Data\CLY\Drprobe\workpath\prm\msa_STO_110_OUT_31.prm</t>
  </si>
  <si>
    <t xml:space="preserve"> [4</t>
  </si>
  <si>
    <t>\Data\CLY\Drprobe\workpath\prm\msa_STO_110_OUT_32.prm</t>
  </si>
  <si>
    <t>\Data\CLY\Drprobe\workpath\prm\msa_STO_110_OUT_33.prm</t>
  </si>
  <si>
    <t>\Data\CLY\Drprobe\workpath\prm\msa_STO_110_OUT_34.prm</t>
  </si>
  <si>
    <t>\Data\CLY\Drprobe\workpath\prm\msa_STO_110_OUT_35.prm</t>
  </si>
  <si>
    <t>\Data\CLY\Drprobe\workpath\prm\msa_STO_110_OUT_36.prm</t>
  </si>
  <si>
    <t>\Data\CLY\Drprobe\workpath\prm\msa_STO_110_OUT_37.prm</t>
  </si>
  <si>
    <t>\Data\CLY\Drprobe\workpath\prm\msa_STO_110_OUT_38.prm</t>
  </si>
  <si>
    <t>\Data\CLY\Drprobe\workpath\prm\msa_STO_110_OUT_39.prm</t>
  </si>
  <si>
    <t>\Data\CLY\Drprobe\workpath\prm\msa_STO_110_OUT_40.prm</t>
  </si>
  <si>
    <t>\Data\CLY\Drprobe\workpath\prm\msa_STO_110_OUT_41.prm</t>
  </si>
  <si>
    <t>\Data\CLY\Drprobe\workpath\prm\msa_STO_110_OUT_42.prm</t>
  </si>
  <si>
    <t>\Data\CLY\Drprobe\workpath\prm\msa_STO_110_OUT_43.prm</t>
  </si>
  <si>
    <t>\Data\CLY\Drprobe\workpath\prm\msa_STO_110_OUT_44.prm</t>
  </si>
  <si>
    <t>\Data\CLY\Drprobe\workpath\prm\msa_STO_110_OUT_45.prm</t>
  </si>
  <si>
    <t>\Data\CLY\Drprobe\workpath\prm\msa_STO_110_OUT_46.prm</t>
  </si>
  <si>
    <t>\Data\CLY\Drprobe\workpath\prm\msa_STO_110_OUT_47.prm</t>
  </si>
  <si>
    <t>\Data\CLY\Drprobe\workpath\prm\msa_STO_110_OUT_48.prm</t>
  </si>
  <si>
    <t>\Data\CLY\Drprobe\workpath\prm\msa_STO_110_OUT_49.prm</t>
  </si>
  <si>
    <t>\Data\CLY\Drprobe\workpath\prm\msa_STO_110_OUT_50.prm</t>
  </si>
  <si>
    <t>\Data\CLY\Drprobe\workpath\prm\msa_STO_110_OUT_51.prm</t>
  </si>
  <si>
    <t>\Data\CLY\Drprobe\workpath\prm\msa_STO_110_OUT_52.prm</t>
  </si>
  <si>
    <t>\Data\CLY\Drprobe\workpath\prm\msa_STO_110_OUT_53.prm</t>
  </si>
  <si>
    <t>\Data\CLY\Drprobe\workpath\prm\msa_STO_110_OUT_54.prm</t>
  </si>
  <si>
    <t>\Data\CLY\Drprobe\workpath\prm\msa_STO_110_OUT_55.prm</t>
  </si>
  <si>
    <t>\Data\CLY\Drprobe\workpath\prm\msa_STO_110_OUT_56.prm</t>
  </si>
  <si>
    <t>\Data\CLY\Drprobe\workpath\prm\msa_STO_110_OUT_57.prm</t>
  </si>
  <si>
    <t>\Data\CLY\Drprobe\workpath\prm\msa_STO_110_OUT_58.prm</t>
  </si>
  <si>
    <t>\Data\CLY\Drprobe\workpath\prm\msa_STO_110_OUT_59.prm</t>
  </si>
  <si>
    <t>\Data\CLY\Drprobe\workpath\prm\msa_STO_110_OUT_60.prm</t>
  </si>
  <si>
    <t>\Data\CLY\Drprobe\workpath\prm\msa_STO_110_OUT_61.prm</t>
  </si>
  <si>
    <t>\Data\CLY\Drprobe\workpath\prm\msa_STO_110_OUT_62.prm</t>
  </si>
  <si>
    <t>\Data\CLY\Drprobe\workpath\prm\msa_STO_110_OUT_63.prm</t>
  </si>
  <si>
    <t>\Data\CLY\Drprobe\workpath\prm\msa_STO_110_OUT_64.prm</t>
  </si>
  <si>
    <t xml:space="preserve"> [0</t>
  </si>
  <si>
    <t xml:space="preserve"> 1]</t>
  </si>
  <si>
    <t>\Data\CLY\Drprobe\workpath\prm\msa_STO_110_OUT_65.prm</t>
  </si>
  <si>
    <t>\Data\CLY\Drprobe\workpath\prm\msa_STO_110_OUT_66.prm</t>
  </si>
  <si>
    <t>\Data\CLY\Drprobe\workpath\prm\msa_STO_110_OUT_67.prm</t>
  </si>
  <si>
    <t>\Data\CLY\Drprobe\workpath\prm\msa_STO_110_OUT_68.prm</t>
  </si>
  <si>
    <t>\Data\CLY\Drprobe\workpath\prm\msa_STO_110_OUT_69.prm</t>
  </si>
  <si>
    <t>\Data\CLY\Drprobe\workpath\prm\msa_STO_110_OUT_70.prm</t>
  </si>
  <si>
    <t>\Data\CLY\Drprobe\workpath\prm\msa_STO_110_OUT_71.prm</t>
  </si>
  <si>
    <t>\Data\CLY\Drprobe\workpath\prm\msa_STO_110_OUT_72.prm</t>
  </si>
  <si>
    <t>\Data\CLY\Drprobe\workpath\prm\msa_STO_110_OUT_73.prm</t>
  </si>
  <si>
    <t>\Data\CLY\Drprobe\workpath\prm\msa_STO_110_OUT_74.prm</t>
  </si>
  <si>
    <t>\Data\CLY\Drprobe\workpath\prm\msa_STO_110_OUT_75.prm</t>
  </si>
  <si>
    <t>\Data\CLY\Drprobe\workpath\prm\msa_STO_110_OUT_76.prm</t>
  </si>
  <si>
    <t>\Data\CLY\Drprobe\workpath\prm\msa_STO_110_OUT_77.prm</t>
  </si>
  <si>
    <t>\Data\CLY\Drprobe\workpath\prm\msa_STO_110_OUT_78.prm</t>
  </si>
  <si>
    <t>\Data\CLY\Drprobe\workpath\prm\msa_STO_110_OUT_79.prm</t>
  </si>
  <si>
    <t>\Data\CLY\Drprobe\workpath\prm\msa_STO_110_OUT_80.prm</t>
  </si>
  <si>
    <t>\Data\CLY\Drprobe\workpath\prm\msa_STO_110_OUT_81.prm</t>
  </si>
  <si>
    <t>\Data\CLY\Drprobe\workpath\prm\msa_STO_110_OUT_82.prm</t>
  </si>
  <si>
    <t>\Data\CLY\Drprobe\workpath\prm\msa_STO_110_OUT_83.prm</t>
  </si>
  <si>
    <t>\Data\CLY\Drprobe\workpath\prm\msa_STO_110_OUT_84.prm</t>
  </si>
  <si>
    <t>\Data\CLY\Drprobe\workpath\prm\msa_STO_110_OUT_85.prm</t>
  </si>
  <si>
    <t>\Data\CLY\Drprobe\workpath\prm\msa_STO_110_OUT_86.prm</t>
  </si>
  <si>
    <t>\Data\CLY\Drprobe\workpath\prm\msa_STO_110_OUT_87.prm</t>
  </si>
  <si>
    <t>\Data\CLY\Drprobe\workpath\prm\msa_STO_110_OUT_88.prm</t>
  </si>
  <si>
    <t>\Data\CLY\Drprobe\workpath\prm\msa_STO_110_OUT_89.prm</t>
  </si>
  <si>
    <t>\Data\CLY\Drprobe\workpath\prm\msa_STO_110_OUT_90.prm</t>
  </si>
  <si>
    <t>\Data\CLY\Drprobe\workpath\prm\msa_STO_110_OUT_91.prm</t>
  </si>
  <si>
    <t>\Data\CLY\Drprobe\workpath\prm\msa_STO_110_OUT_92.prm</t>
  </si>
  <si>
    <t>\Data\CLY\Drprobe\workpath\prm\msa_STO_110_OUT_93.prm</t>
  </si>
  <si>
    <t>\Data\CLY\Drprobe\workpath\prm\msa_STO_110_OUT_94.prm</t>
  </si>
  <si>
    <t>\Data\CLY\Drprobe\workpath\prm\msa_STO_110_OUT_95.prm</t>
  </si>
  <si>
    <t>\Data\CLY\Drprobe\workpath\prm\msa_STO_110_OUT_96.prm</t>
  </si>
  <si>
    <t>\Data\CLY\Drprobe\workpath\prm\msa_STO_110_OUT_97.prm</t>
  </si>
  <si>
    <t>\Data\CLY\Drprobe\workpath\prm\msa_STO_110_OUT_98.prm</t>
  </si>
  <si>
    <t>\Data\CLY\Drprobe\workpath\prm\msa_STO_110_OUT_99.prm</t>
  </si>
  <si>
    <t>\Data\CLY\Drprobe\workpath\prm\msa_STO_110_OUT_100.prm</t>
  </si>
  <si>
    <t>\Data\CLY\Drprobe\workpath\prm\msa_STO_110_OUT_101.prm</t>
  </si>
  <si>
    <t>\Data\CLY\Drprobe\workpath\prm\msa_STO_110_OUT_102.prm</t>
  </si>
  <si>
    <t>\Data\CLY\Drprobe\workpath\prm\msa_STO_110_OUT_103.prm</t>
  </si>
  <si>
    <t>\Data\CLY\Drprobe\workpath\prm\msa_STO_110_OUT_104.prm</t>
  </si>
  <si>
    <t>\Data\CLY\Drprobe\workpath\prm\msa_STO_110_OUT_105.prm</t>
  </si>
  <si>
    <t>\Data\CLY\Drprobe\workpath\prm\msa_STO_110_OUT_106.prm</t>
  </si>
  <si>
    <t>\Data\CLY\Drprobe\workpath\prm\msa_STO_110_OUT_107.prm</t>
  </si>
  <si>
    <t>\Data\CLY\Drprobe\workpath\prm\msa_STO_110_OUT_108.prm</t>
  </si>
  <si>
    <t>\Data\CLY\Drprobe\workpath\prm\msa_STO_110_OUT_109.prm</t>
  </si>
  <si>
    <t>\Data\CLY\Drprobe\workpath\prm\msa_STO_110_OUT_110.prm</t>
  </si>
  <si>
    <t>\Data\CLY\Drprobe\workpath\prm\msa_STO_110_OUT_111.prm</t>
  </si>
  <si>
    <t>\Data\CLY\Drprobe\workpath\prm\msa_STO_110_OUT_112.prm</t>
  </si>
  <si>
    <t>\Data\CLY\Drprobe\workpath\prm\msa_STO_110_OUT_113.prm</t>
  </si>
  <si>
    <t>\Data\CLY\Drprobe\workpath\prm\msa_STO_110_OUT_114.prm</t>
  </si>
  <si>
    <t>\Data\CLY\Drprobe\workpath\prm\msa_STO_110_OUT_115.prm</t>
  </si>
  <si>
    <t>\Data\CLY\Drprobe\workpath\prm\msa_STO_110_OUT_116.prm</t>
  </si>
  <si>
    <t>\Data\CLY\Drprobe\workpath\prm\msa_STO_110_OUT_117.prm</t>
  </si>
  <si>
    <t>\Data\CLY\Drprobe\workpath\prm\msa_STO_110_OUT_118.prm</t>
  </si>
  <si>
    <t>\Data\CLY\Drprobe\workpath\prm\msa_STO_110_OUT_119.prm</t>
  </si>
  <si>
    <t>\Data\CLY\Drprobe\workpath\prm\msa_STO_110_OUT_120.prm</t>
  </si>
  <si>
    <t>\Data\CLY\Drprobe\workpath\prm\msa_STO_110_OUT_121.prm</t>
  </si>
  <si>
    <t>\Data\CLY\Drprobe\workpath\prm\msa_STO_110_OUT_122.prm</t>
  </si>
  <si>
    <t>\Data\CLY\Drprobe\workpath\prm\msa_STO_110_OUT_123.prm</t>
  </si>
  <si>
    <t>\Data\CLY\Drprobe\workpath\prm\msa_STO_110_OUT_124.prm</t>
  </si>
  <si>
    <t>\Data\CLY\Drprobe\workpath\prm\msa_STO_110_OUT_125.prm</t>
  </si>
  <si>
    <t>\Data\CLY\Drprobe\workpath\prm\msa_STO_110_OUT_126.prm</t>
  </si>
  <si>
    <t>\Data\CLY\Drprobe\workpath\prm\msa_STO_110_OUT_127.prm</t>
  </si>
  <si>
    <t>\Data\CLY\Drprobe\workpath\prm\msa_STO_110_OUT_128.prm</t>
  </si>
  <si>
    <t>\Data\CLY\Drprobe\workpath\prm\msa_STO_110_OUT_129.prm</t>
  </si>
  <si>
    <t>\Data\CLY\Drprobe\workpath\prm\msa_STO_110_OUT_130.prm</t>
  </si>
  <si>
    <t>\Data\CLY\Drprobe\workpath\prm\msa_STO_110_OUT_131.prm</t>
  </si>
  <si>
    <t>\Data\CLY\Drprobe\workpath\prm\msa_STO_110_OUT_132.prm</t>
  </si>
  <si>
    <t>\Data\CLY\Drprobe\workpath\prm\msa_STO_110_OUT_133.prm</t>
  </si>
  <si>
    <t>\Data\CLY\Drprobe\workpath\prm\msa_STO_110_OUT_134.prm</t>
  </si>
  <si>
    <t>\Data\CLY\Drprobe\workpath\prm\msa_STO_110_OUT_135.prm</t>
  </si>
  <si>
    <t>\Data\CLY\Drprobe\workpath\prm\msa_STO_110_OUT_136.prm</t>
  </si>
  <si>
    <t>\Data\CLY\Drprobe\workpath\prm\msa_STO_110_OUT_137.prm</t>
  </si>
  <si>
    <t>\Data\CLY\Drprobe\workpath\prm\msa_STO_110_OUT_138.prm</t>
  </si>
  <si>
    <t>\Data\CLY\Drprobe\workpath\prm\msa_STO_110_OUT_139.prm</t>
  </si>
  <si>
    <t>\Data\CLY\Drprobe\workpath\prm\msa_STO_110_OUT_140.prm</t>
  </si>
  <si>
    <t>\Data\CLY\Drprobe\workpath\prm\msa_STO_110_OUT_141.prm</t>
  </si>
  <si>
    <t>\Data\CLY\Drprobe\workpath\prm\msa_STO_110_OUT_142.prm</t>
  </si>
  <si>
    <t>\Data\CLY\Drprobe\workpath\prm\msa_STO_110_OUT_143.prm</t>
  </si>
  <si>
    <t>\Data\CLY\Drprobe\workpath\prm\msa_STO_110_OUT_144.prm</t>
  </si>
  <si>
    <t>\Data\CLY\Drprobe\workpath\prm\msa_STO_110_OUT_145.prm</t>
  </si>
  <si>
    <t>\Data\CLY\Drprobe\workpath\prm\msa_STO_110_OUT_146.prm</t>
  </si>
  <si>
    <t>\Data\CLY\Drprobe\workpath\prm\msa_STO_110_OUT_147.prm</t>
  </si>
  <si>
    <t>\Data\CLY\Drprobe\workpath\prm\msa_STO_110_OUT_148.prm</t>
  </si>
  <si>
    <t>\Data\CLY\Drprobe\workpath\prm\msa_STO_110_OUT_149.prm</t>
  </si>
  <si>
    <t>\Data\CLY\Drprobe\workpath\prm\msa_STO_110_OUT_150.prm</t>
  </si>
  <si>
    <t>\Data\CLY\Drprobe\workpath\prm\msa_STO_110_OUT_151.prm</t>
  </si>
  <si>
    <t>\Data\CLY\Drprobe\workpath\prm\msa_STO_110_OUT_152.prm</t>
  </si>
  <si>
    <t>\Data\CLY\Drprobe\workpath\prm\msa_STO_110_OUT_153.prm</t>
  </si>
  <si>
    <t>\Data\CLY\Drprobe\workpath\prm\msa_STO_110_OUT_154.prm</t>
  </si>
  <si>
    <t>\Data\CLY\Drprobe\workpath\prm\msa_STO_110_OUT_155.prm</t>
  </si>
  <si>
    <t>\Data\CLY\Drprobe\workpath\prm\msa_STO_110_OUT_156.prm</t>
  </si>
  <si>
    <t>\Data\CLY\Drprobe\workpath\prm\msa_STO_110_OUT_157.prm</t>
  </si>
  <si>
    <t>\Data\CLY\Drprobe\workpath\prm\msa_STO_110_OUT_158.prm</t>
  </si>
  <si>
    <t>\Data\CLY\Drprobe\workpath\prm\msa_STO_110_OUT_159.prm</t>
  </si>
  <si>
    <t>\Data\CLY\Drprobe\workpath\prm\msa_STO_110_OUT_160.prm</t>
  </si>
  <si>
    <t>\Data\CLY\Drprobe\workpath\prm\msa_STO_110_OUT_161.prm</t>
  </si>
  <si>
    <t>\Data\CLY\Drprobe\workpath\prm\msa_STO_110_OUT_162.prm</t>
  </si>
  <si>
    <t>\Data\CLY\Drprobe\workpath\prm\msa_STO_110_OUT_163.prm</t>
  </si>
  <si>
    <t>\Data\CLY\Drprobe\workpath\prm\msa_STO_110_OUT_164.prm</t>
  </si>
  <si>
    <t>\Data\CLY\Drprobe\workpath\prm\msa_STO_110_OUT_165.prm</t>
  </si>
  <si>
    <t>\Data\CLY\Drprobe\workpath\prm\msa_STO_110_OUT_166.prm</t>
  </si>
  <si>
    <t>\Data\CLY\Drprobe\workpath\prm\msa_STO_110_OUT_167.prm</t>
  </si>
  <si>
    <t>\Data\CLY\Drprobe\workpath\prm\msa_STO_110_OUT_168.prm</t>
  </si>
  <si>
    <t>\Data\CLY\Drprobe\workpath\prm\msa_STO_110_OUT_169.prm</t>
  </si>
  <si>
    <t>\Data\CLY\Drprobe\workpath\prm\msa_STO_110_OUT_170.prm</t>
  </si>
  <si>
    <t>\Data\CLY\Drprobe\workpath\prm\msa_STO_110_OUT_171.prm</t>
  </si>
  <si>
    <t>\Data\CLY\Drprobe\workpath\prm\msa_STO_110_OUT_172.prm</t>
  </si>
  <si>
    <t>\Data\CLY\Drprobe\workpath\prm\msa_STO_110_OUT_173.prm</t>
  </si>
  <si>
    <t>\Data\CLY\Drprobe\workpath\prm\msa_STO_110_OUT_174.prm</t>
  </si>
  <si>
    <t>\Data\CLY\Drprobe\workpath\prm\msa_STO_110_OUT_175.prm</t>
  </si>
  <si>
    <t>\Data\CLY\Drprobe\workpath\prm\msa_STO_110_OUT_176.prm</t>
  </si>
  <si>
    <t>\Data\CLY\Drprobe\workpath\prm\msa_STO_110_OUT_177.prm</t>
  </si>
  <si>
    <t>\Data\CLY\Drprobe\workpath\prm\msa_STO_110_OUT_178.prm</t>
  </si>
  <si>
    <t>\Data\CLY\Drprobe\workpath\prm\msa_STO_110_OUT_179.prm</t>
  </si>
  <si>
    <t>\Data\CLY\Drprobe\workpath\prm\msa_STO_110_OUT_180.prm</t>
  </si>
  <si>
    <t>\Data\CLY\Drprobe\workpath\prm\msa_STO_110_OUT_181.prm</t>
  </si>
  <si>
    <t>\Data\CLY\Drprobe\workpath\prm\msa_STO_110_OUT_182.prm</t>
  </si>
  <si>
    <t>\Data\CLY\Drprobe\workpath\prm\msa_STO_110_OUT_183.prm</t>
  </si>
  <si>
    <t>\Data\CLY\Drprobe\workpath\prm\msa_STO_110_OUT_184.prm</t>
  </si>
  <si>
    <t>\Data\CLY\Drprobe\workpath\prm\msa_STO_110_OUT_185.prm</t>
  </si>
  <si>
    <t>\Data\CLY\Drprobe\workpath\prm\msa_STO_110_OUT_186.prm</t>
  </si>
  <si>
    <t>\Data\CLY\Drprobe\workpath\prm\msa_STO_110_OUT_187.prm</t>
  </si>
  <si>
    <t>\Data\CLY\Drprobe\workpath\prm\msa_STO_110_OUT_188.prm</t>
  </si>
  <si>
    <t>\Data\CLY\Drprobe\workpath\prm\msa_STO_110_OUT_189.prm</t>
  </si>
  <si>
    <t>\Data\CLY\Drprobe\workpath\prm\msa_STO_110_OUT_190.prm</t>
  </si>
  <si>
    <t>\Data\CLY\Drprobe\workpath\prm\msa_STO_110_OUT_191.prm</t>
  </si>
  <si>
    <t>\Data\CLY\Drprobe\workpath\prm\msa_STO_110_OUT_192.prm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</si>
</sst>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0" fontId="0" fillId="5" borderId="0" xfId="0" applyFill="1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6"/>
  <sheetViews>
    <sheetView topLeftCell="A76" workbookViewId="0">
      <selection activeCell="P116" sqref="L89:P116"/>
    </sheetView>
  </sheetViews>
  <sheetFormatPr defaultRowHeight="14.25"/>
  <sheetData>
    <row r="1" spans="2:29">
      <c r="V1" t="s">
        <v>4</v>
      </c>
    </row>
    <row r="2" spans="2:29">
      <c r="B2" t="s">
        <v>0</v>
      </c>
      <c r="C2">
        <v>0.79749999999999999</v>
      </c>
      <c r="D2">
        <v>0.96130000000000004</v>
      </c>
      <c r="E2">
        <v>0.83109500000000003</v>
      </c>
      <c r="F2">
        <v>1</v>
      </c>
      <c r="G2">
        <v>3.0000000000000001E-3</v>
      </c>
      <c r="H2">
        <v>0.1</v>
      </c>
      <c r="I2">
        <v>0.1</v>
      </c>
      <c r="J2">
        <v>0.1</v>
      </c>
      <c r="L2" s="1" t="s">
        <v>0</v>
      </c>
      <c r="M2" s="1">
        <v>1</v>
      </c>
      <c r="N2" s="1">
        <f>C2/2</f>
        <v>0.39874999999999999</v>
      </c>
      <c r="O2" s="1">
        <f t="shared" ref="O2:P2" si="0">D2/2</f>
        <v>0.48065000000000002</v>
      </c>
      <c r="P2" s="1">
        <f>E2</f>
        <v>0.83109500000000003</v>
      </c>
      <c r="V2" t="s">
        <v>5</v>
      </c>
    </row>
    <row r="3" spans="2:29">
      <c r="B3" t="s">
        <v>0</v>
      </c>
      <c r="C3">
        <v>0.79749999999999999</v>
      </c>
      <c r="D3">
        <v>0.96130000000000004</v>
      </c>
      <c r="E3">
        <v>0.69630499999999995</v>
      </c>
      <c r="F3">
        <v>0</v>
      </c>
      <c r="G3">
        <v>3.0000000000000001E-3</v>
      </c>
      <c r="H3">
        <v>0.1</v>
      </c>
      <c r="I3">
        <v>0.1</v>
      </c>
      <c r="J3">
        <v>0.1</v>
      </c>
      <c r="L3" s="1" t="s">
        <v>0</v>
      </c>
      <c r="M3" s="1">
        <v>0</v>
      </c>
      <c r="N3" s="1">
        <f t="shared" ref="N3:N29" si="1">C3/2</f>
        <v>0.39874999999999999</v>
      </c>
      <c r="O3" s="1">
        <f t="shared" ref="O3:O29" si="2">D3/2</f>
        <v>0.48065000000000002</v>
      </c>
      <c r="P3" s="1">
        <f t="shared" ref="P3:P29" si="3">E3</f>
        <v>0.69630499999999995</v>
      </c>
      <c r="V3" t="s">
        <v>6</v>
      </c>
    </row>
    <row r="4" spans="2:29">
      <c r="B4" t="s">
        <v>0</v>
      </c>
      <c r="C4">
        <v>0.79749999999999999</v>
      </c>
      <c r="D4">
        <v>0.46129999999999999</v>
      </c>
      <c r="E4">
        <v>0.83109500000000003</v>
      </c>
      <c r="F4">
        <v>1</v>
      </c>
      <c r="G4">
        <v>3.0000000000000001E-3</v>
      </c>
      <c r="H4">
        <v>0.1</v>
      </c>
      <c r="I4">
        <v>0.1</v>
      </c>
      <c r="J4">
        <v>0.1</v>
      </c>
      <c r="L4" s="1" t="s">
        <v>0</v>
      </c>
      <c r="M4" s="1">
        <v>1</v>
      </c>
      <c r="N4" s="1">
        <f t="shared" si="1"/>
        <v>0.39874999999999999</v>
      </c>
      <c r="O4" s="1">
        <f t="shared" si="2"/>
        <v>0.23064999999999999</v>
      </c>
      <c r="P4" s="1">
        <f t="shared" si="3"/>
        <v>0.83109500000000003</v>
      </c>
      <c r="V4" t="s">
        <v>7</v>
      </c>
    </row>
    <row r="5" spans="2:29">
      <c r="B5" t="s">
        <v>0</v>
      </c>
      <c r="C5">
        <v>0.79749999999999999</v>
      </c>
      <c r="D5">
        <v>0.46129999999999999</v>
      </c>
      <c r="E5">
        <v>0.69630499999999995</v>
      </c>
      <c r="F5">
        <v>0</v>
      </c>
      <c r="G5">
        <v>3.0000000000000001E-3</v>
      </c>
      <c r="H5">
        <v>0.1</v>
      </c>
      <c r="I5">
        <v>0.1</v>
      </c>
      <c r="J5">
        <v>0.1</v>
      </c>
      <c r="L5" s="1" t="s">
        <v>0</v>
      </c>
      <c r="M5" s="1">
        <v>0</v>
      </c>
      <c r="N5" s="1">
        <f t="shared" si="1"/>
        <v>0.39874999999999999</v>
      </c>
      <c r="O5" s="1">
        <f t="shared" si="2"/>
        <v>0.23064999999999999</v>
      </c>
      <c r="P5" s="1">
        <f t="shared" si="3"/>
        <v>0.69630499999999995</v>
      </c>
      <c r="V5" t="s">
        <v>8</v>
      </c>
    </row>
    <row r="6" spans="2:29">
      <c r="B6" t="s">
        <v>0</v>
      </c>
      <c r="C6">
        <v>0.29749999999999999</v>
      </c>
      <c r="D6">
        <v>0.96130000000000004</v>
      </c>
      <c r="E6">
        <v>0.33009500000000003</v>
      </c>
      <c r="F6">
        <v>1</v>
      </c>
      <c r="G6">
        <v>3.0000000000000001E-3</v>
      </c>
      <c r="H6">
        <v>0.1</v>
      </c>
      <c r="I6">
        <v>0.1</v>
      </c>
      <c r="J6">
        <v>0.1</v>
      </c>
      <c r="L6" s="1" t="s">
        <v>0</v>
      </c>
      <c r="M6" s="1">
        <v>1</v>
      </c>
      <c r="N6" s="1">
        <f t="shared" si="1"/>
        <v>0.14874999999999999</v>
      </c>
      <c r="O6" s="1">
        <f t="shared" si="2"/>
        <v>0.48065000000000002</v>
      </c>
      <c r="P6" s="1">
        <f t="shared" si="3"/>
        <v>0.33009500000000003</v>
      </c>
      <c r="V6" t="s">
        <v>9</v>
      </c>
    </row>
    <row r="7" spans="2:29">
      <c r="B7" t="s">
        <v>0</v>
      </c>
      <c r="C7">
        <v>0.29749999999999999</v>
      </c>
      <c r="D7">
        <v>0.96130000000000004</v>
      </c>
      <c r="E7">
        <v>0.19530500000000001</v>
      </c>
      <c r="F7">
        <v>0</v>
      </c>
      <c r="G7">
        <v>3.0000000000000001E-3</v>
      </c>
      <c r="H7">
        <v>0.1</v>
      </c>
      <c r="I7">
        <v>0.1</v>
      </c>
      <c r="J7">
        <v>0.1</v>
      </c>
      <c r="L7" s="1" t="s">
        <v>0</v>
      </c>
      <c r="M7" s="1">
        <v>0</v>
      </c>
      <c r="N7" s="1">
        <f t="shared" si="1"/>
        <v>0.14874999999999999</v>
      </c>
      <c r="O7" s="1">
        <f t="shared" si="2"/>
        <v>0.48065000000000002</v>
      </c>
      <c r="P7" s="1">
        <f t="shared" si="3"/>
        <v>0.19530500000000001</v>
      </c>
      <c r="V7" t="s">
        <v>10</v>
      </c>
    </row>
    <row r="8" spans="2:29">
      <c r="B8" t="s">
        <v>0</v>
      </c>
      <c r="C8">
        <v>0.29749999999999999</v>
      </c>
      <c r="D8">
        <v>0.46129999999999999</v>
      </c>
      <c r="E8">
        <v>0.33009500000000003</v>
      </c>
      <c r="F8">
        <v>1</v>
      </c>
      <c r="G8">
        <v>3.0000000000000001E-3</v>
      </c>
      <c r="H8">
        <v>0.1</v>
      </c>
      <c r="I8">
        <v>0.1</v>
      </c>
      <c r="J8">
        <v>0.1</v>
      </c>
      <c r="L8" s="1" t="s">
        <v>0</v>
      </c>
      <c r="M8" s="1">
        <v>1</v>
      </c>
      <c r="N8" s="1">
        <f t="shared" si="1"/>
        <v>0.14874999999999999</v>
      </c>
      <c r="O8" s="1">
        <f t="shared" si="2"/>
        <v>0.23064999999999999</v>
      </c>
      <c r="P8" s="1">
        <f t="shared" si="3"/>
        <v>0.33009500000000003</v>
      </c>
      <c r="V8" t="s">
        <v>11</v>
      </c>
    </row>
    <row r="9" spans="2:29">
      <c r="B9" t="s">
        <v>0</v>
      </c>
      <c r="C9">
        <v>0.29749999999999999</v>
      </c>
      <c r="D9">
        <v>0.46129999999999999</v>
      </c>
      <c r="E9">
        <v>0.19530500000000001</v>
      </c>
      <c r="F9">
        <v>0</v>
      </c>
      <c r="G9">
        <v>3.0000000000000001E-3</v>
      </c>
      <c r="H9">
        <v>0.1</v>
      </c>
      <c r="I9">
        <v>0.1</v>
      </c>
      <c r="J9">
        <v>0.1</v>
      </c>
      <c r="L9" s="1" t="s">
        <v>0</v>
      </c>
      <c r="M9" s="1">
        <v>0</v>
      </c>
      <c r="N9" s="1">
        <f t="shared" si="1"/>
        <v>0.14874999999999999</v>
      </c>
      <c r="O9" s="1">
        <f t="shared" si="2"/>
        <v>0.23064999999999999</v>
      </c>
      <c r="P9" s="1">
        <f t="shared" si="3"/>
        <v>0.19530500000000001</v>
      </c>
      <c r="V9" t="s">
        <v>12</v>
      </c>
    </row>
    <row r="10" spans="2:29">
      <c r="B10" t="s">
        <v>1</v>
      </c>
      <c r="C10">
        <v>0.79500000000000004</v>
      </c>
      <c r="D10">
        <v>0.70499999999999996</v>
      </c>
      <c r="E10">
        <v>0.27280100000000002</v>
      </c>
      <c r="F10">
        <v>1</v>
      </c>
      <c r="G10">
        <v>1.2999999999999999E-2</v>
      </c>
      <c r="H10">
        <v>0.1</v>
      </c>
      <c r="I10">
        <v>0.1</v>
      </c>
      <c r="J10">
        <v>0.1</v>
      </c>
      <c r="L10" s="1" t="s">
        <v>1</v>
      </c>
      <c r="M10" s="1">
        <v>1</v>
      </c>
      <c r="N10" s="1">
        <f t="shared" si="1"/>
        <v>0.39750000000000002</v>
      </c>
      <c r="O10" s="1">
        <f t="shared" si="2"/>
        <v>0.35249999999999998</v>
      </c>
      <c r="P10" s="1">
        <f t="shared" si="3"/>
        <v>0.27280100000000002</v>
      </c>
      <c r="V10" t="s">
        <v>0</v>
      </c>
      <c r="W10">
        <v>0</v>
      </c>
      <c r="X10">
        <v>0.14874999999999999</v>
      </c>
      <c r="Y10">
        <v>0.23064999999999999</v>
      </c>
      <c r="Z10">
        <v>0.1953</v>
      </c>
      <c r="AA10" t="s">
        <v>13</v>
      </c>
      <c r="AB10">
        <v>3.0000000000000001E-3</v>
      </c>
      <c r="AC10" t="s">
        <v>0</v>
      </c>
    </row>
    <row r="11" spans="2:29">
      <c r="B11" t="s">
        <v>1</v>
      </c>
      <c r="C11">
        <v>0.79500000000000004</v>
      </c>
      <c r="D11">
        <v>0.20499999999999999</v>
      </c>
      <c r="E11">
        <v>0.72692500000000004</v>
      </c>
      <c r="F11">
        <v>1</v>
      </c>
      <c r="G11">
        <v>1.2999999999999999E-2</v>
      </c>
      <c r="H11">
        <v>0.1</v>
      </c>
      <c r="I11">
        <v>0.1</v>
      </c>
      <c r="J11">
        <v>0.1</v>
      </c>
      <c r="L11" s="1" t="s">
        <v>1</v>
      </c>
      <c r="M11" s="1">
        <v>1</v>
      </c>
      <c r="N11" s="1">
        <f t="shared" si="1"/>
        <v>0.39750000000000002</v>
      </c>
      <c r="O11" s="1">
        <f t="shared" si="2"/>
        <v>0.10249999999999999</v>
      </c>
      <c r="P11" s="1">
        <f t="shared" si="3"/>
        <v>0.72692500000000004</v>
      </c>
      <c r="V11" t="s">
        <v>0</v>
      </c>
      <c r="W11">
        <v>1</v>
      </c>
      <c r="X11">
        <v>0.14874999999999999</v>
      </c>
      <c r="Y11">
        <v>0.23064999999999999</v>
      </c>
      <c r="Z11">
        <v>0.3301</v>
      </c>
      <c r="AA11" t="s">
        <v>13</v>
      </c>
      <c r="AB11">
        <v>3.0000000000000001E-3</v>
      </c>
      <c r="AC11" t="s">
        <v>0</v>
      </c>
    </row>
    <row r="12" spans="2:29">
      <c r="B12" t="s">
        <v>1</v>
      </c>
      <c r="C12">
        <v>0.70499999999999996</v>
      </c>
      <c r="D12">
        <v>0.79500000000000004</v>
      </c>
      <c r="E12">
        <v>0.77293800000000001</v>
      </c>
      <c r="F12">
        <v>1</v>
      </c>
      <c r="G12">
        <v>1.2999999999999999E-2</v>
      </c>
      <c r="H12">
        <v>0.1</v>
      </c>
      <c r="I12">
        <v>0.1</v>
      </c>
      <c r="J12">
        <v>0.1</v>
      </c>
      <c r="L12" s="1" t="s">
        <v>1</v>
      </c>
      <c r="M12" s="1">
        <v>1</v>
      </c>
      <c r="N12" s="1">
        <f t="shared" si="1"/>
        <v>0.35249999999999998</v>
      </c>
      <c r="O12" s="1">
        <f t="shared" si="2"/>
        <v>0.39750000000000002</v>
      </c>
      <c r="P12" s="1">
        <f t="shared" si="3"/>
        <v>0.77293800000000001</v>
      </c>
      <c r="V12" t="s">
        <v>0</v>
      </c>
      <c r="W12">
        <v>0</v>
      </c>
      <c r="X12">
        <v>0.14874999999999999</v>
      </c>
      <c r="Y12">
        <v>0.48065000000000002</v>
      </c>
      <c r="Z12">
        <v>0.1953</v>
      </c>
      <c r="AA12" t="s">
        <v>13</v>
      </c>
      <c r="AB12">
        <v>3.0000000000000001E-3</v>
      </c>
      <c r="AC12" t="s">
        <v>0</v>
      </c>
    </row>
    <row r="13" spans="2:29">
      <c r="B13" t="s">
        <v>1</v>
      </c>
      <c r="C13">
        <v>0.70499999999999996</v>
      </c>
      <c r="D13">
        <v>0.29499999999999998</v>
      </c>
      <c r="E13">
        <v>0.22678799999999999</v>
      </c>
      <c r="F13">
        <v>1</v>
      </c>
      <c r="G13">
        <v>1.2999999999999999E-2</v>
      </c>
      <c r="H13">
        <v>0.1</v>
      </c>
      <c r="I13">
        <v>0.1</v>
      </c>
      <c r="J13">
        <v>0.1</v>
      </c>
      <c r="L13" s="1" t="s">
        <v>1</v>
      </c>
      <c r="M13" s="1">
        <v>1</v>
      </c>
      <c r="N13" s="1">
        <f t="shared" si="1"/>
        <v>0.35249999999999998</v>
      </c>
      <c r="O13" s="1">
        <f t="shared" si="2"/>
        <v>0.14749999999999999</v>
      </c>
      <c r="P13" s="1">
        <f t="shared" si="3"/>
        <v>0.22678799999999999</v>
      </c>
      <c r="V13" t="s">
        <v>0</v>
      </c>
      <c r="W13">
        <v>1</v>
      </c>
      <c r="X13">
        <v>0.14874999999999999</v>
      </c>
      <c r="Y13">
        <v>0.48065000000000002</v>
      </c>
      <c r="Z13">
        <v>0.3301</v>
      </c>
      <c r="AA13" t="s">
        <v>13</v>
      </c>
      <c r="AB13">
        <v>3.0000000000000001E-3</v>
      </c>
      <c r="AC13" t="s">
        <v>0</v>
      </c>
    </row>
    <row r="14" spans="2:29">
      <c r="B14" t="s">
        <v>1</v>
      </c>
      <c r="C14">
        <v>0.5</v>
      </c>
      <c r="D14">
        <v>0.5</v>
      </c>
      <c r="E14">
        <v>0.545875</v>
      </c>
      <c r="F14">
        <v>1</v>
      </c>
      <c r="G14">
        <v>1.2999999999999999E-2</v>
      </c>
      <c r="H14">
        <v>0.1</v>
      </c>
      <c r="I14">
        <v>0.1</v>
      </c>
      <c r="J14">
        <v>0.1</v>
      </c>
      <c r="L14" s="1" t="s">
        <v>1</v>
      </c>
      <c r="M14" s="1">
        <v>1</v>
      </c>
      <c r="N14" s="1">
        <f t="shared" si="1"/>
        <v>0.25</v>
      </c>
      <c r="O14" s="1">
        <f t="shared" si="2"/>
        <v>0.25</v>
      </c>
      <c r="P14" s="1">
        <f t="shared" si="3"/>
        <v>0.545875</v>
      </c>
      <c r="V14" t="s">
        <v>0</v>
      </c>
      <c r="W14">
        <v>0</v>
      </c>
      <c r="X14">
        <v>0.39874999999999999</v>
      </c>
      <c r="Y14">
        <v>0.23064999999999999</v>
      </c>
      <c r="Z14">
        <v>0.69630000000000003</v>
      </c>
      <c r="AA14" t="s">
        <v>13</v>
      </c>
      <c r="AB14">
        <v>3.0000000000000001E-3</v>
      </c>
      <c r="AC14" t="s">
        <v>0</v>
      </c>
    </row>
    <row r="15" spans="2:29">
      <c r="B15" t="s">
        <v>1</v>
      </c>
      <c r="C15">
        <v>0.5</v>
      </c>
      <c r="D15">
        <v>0</v>
      </c>
      <c r="E15">
        <v>0.45384999999999998</v>
      </c>
      <c r="F15">
        <v>1</v>
      </c>
      <c r="G15">
        <v>1.2999999999999999E-2</v>
      </c>
      <c r="H15">
        <v>0.1</v>
      </c>
      <c r="I15">
        <v>0.1</v>
      </c>
      <c r="J15">
        <v>0.1</v>
      </c>
      <c r="L15" s="1" t="s">
        <v>1</v>
      </c>
      <c r="M15" s="1">
        <v>1</v>
      </c>
      <c r="N15" s="1">
        <f t="shared" si="1"/>
        <v>0.25</v>
      </c>
      <c r="O15" s="1">
        <f t="shared" si="2"/>
        <v>0</v>
      </c>
      <c r="P15" s="1">
        <f t="shared" si="3"/>
        <v>0.45384999999999998</v>
      </c>
      <c r="V15" t="s">
        <v>0</v>
      </c>
      <c r="W15">
        <v>1</v>
      </c>
      <c r="X15">
        <v>0.39874999999999999</v>
      </c>
      <c r="Y15">
        <v>0.23064999999999999</v>
      </c>
      <c r="Z15">
        <v>0.83109999999999995</v>
      </c>
      <c r="AA15" t="s">
        <v>13</v>
      </c>
      <c r="AB15">
        <v>3.0000000000000001E-3</v>
      </c>
      <c r="AC15" t="s">
        <v>0</v>
      </c>
    </row>
    <row r="16" spans="2:29">
      <c r="B16" t="s">
        <v>1</v>
      </c>
      <c r="C16">
        <v>0.29499999999999998</v>
      </c>
      <c r="D16">
        <v>0.70499999999999996</v>
      </c>
      <c r="E16">
        <v>0.22678799999999999</v>
      </c>
      <c r="F16">
        <v>1</v>
      </c>
      <c r="G16">
        <v>1.2999999999999999E-2</v>
      </c>
      <c r="H16">
        <v>0.1</v>
      </c>
      <c r="I16">
        <v>0.1</v>
      </c>
      <c r="J16">
        <v>0.1</v>
      </c>
      <c r="L16" s="1" t="s">
        <v>1</v>
      </c>
      <c r="M16" s="1">
        <v>1</v>
      </c>
      <c r="N16" s="1">
        <f t="shared" si="1"/>
        <v>0.14749999999999999</v>
      </c>
      <c r="O16" s="1">
        <f t="shared" si="2"/>
        <v>0.35249999999999998</v>
      </c>
      <c r="P16" s="1">
        <f t="shared" si="3"/>
        <v>0.22678799999999999</v>
      </c>
      <c r="V16" t="s">
        <v>0</v>
      </c>
      <c r="W16">
        <v>0</v>
      </c>
      <c r="X16">
        <v>0.39874999999999999</v>
      </c>
      <c r="Y16">
        <v>0.48065000000000002</v>
      </c>
      <c r="Z16">
        <v>0.69630000000000003</v>
      </c>
      <c r="AA16" t="s">
        <v>13</v>
      </c>
      <c r="AB16">
        <v>3.0000000000000001E-3</v>
      </c>
      <c r="AC16" t="s">
        <v>0</v>
      </c>
    </row>
    <row r="17" spans="1:29">
      <c r="B17" t="s">
        <v>1</v>
      </c>
      <c r="C17">
        <v>0.29499999999999998</v>
      </c>
      <c r="D17">
        <v>0.20499999999999999</v>
      </c>
      <c r="E17">
        <v>0.77293800000000001</v>
      </c>
      <c r="F17">
        <v>1</v>
      </c>
      <c r="G17">
        <v>1.2999999999999999E-2</v>
      </c>
      <c r="H17">
        <v>0.1</v>
      </c>
      <c r="I17">
        <v>0.1</v>
      </c>
      <c r="J17">
        <v>0.1</v>
      </c>
      <c r="L17" s="1" t="s">
        <v>1</v>
      </c>
      <c r="M17" s="1">
        <v>1</v>
      </c>
      <c r="N17" s="1">
        <f t="shared" si="1"/>
        <v>0.14749999999999999</v>
      </c>
      <c r="O17" s="1">
        <f t="shared" si="2"/>
        <v>0.10249999999999999</v>
      </c>
      <c r="P17" s="1">
        <f t="shared" si="3"/>
        <v>0.77293800000000001</v>
      </c>
      <c r="V17" t="s">
        <v>0</v>
      </c>
      <c r="W17">
        <v>1</v>
      </c>
      <c r="X17">
        <v>0.39874999999999999</v>
      </c>
      <c r="Y17">
        <v>0.48065000000000002</v>
      </c>
      <c r="Z17">
        <v>0.83109999999999995</v>
      </c>
      <c r="AA17" t="s">
        <v>13</v>
      </c>
      <c r="AB17">
        <v>3.0000000000000001E-3</v>
      </c>
      <c r="AC17" t="s">
        <v>0</v>
      </c>
    </row>
    <row r="18" spans="1:29">
      <c r="B18" t="s">
        <v>1</v>
      </c>
      <c r="C18">
        <v>0.20499999999999999</v>
      </c>
      <c r="D18">
        <v>0.79500000000000004</v>
      </c>
      <c r="E18">
        <v>0.72692500000000004</v>
      </c>
      <c r="F18">
        <v>1</v>
      </c>
      <c r="G18">
        <v>1.2999999999999999E-2</v>
      </c>
      <c r="H18">
        <v>0.1</v>
      </c>
      <c r="I18">
        <v>0.1</v>
      </c>
      <c r="J18">
        <v>0.1</v>
      </c>
      <c r="L18" s="1" t="s">
        <v>1</v>
      </c>
      <c r="M18" s="1">
        <v>1</v>
      </c>
      <c r="N18" s="1">
        <f t="shared" si="1"/>
        <v>0.10249999999999999</v>
      </c>
      <c r="O18" s="1">
        <f t="shared" si="2"/>
        <v>0.39750000000000002</v>
      </c>
      <c r="P18" s="1">
        <f t="shared" si="3"/>
        <v>0.72692500000000004</v>
      </c>
      <c r="V18" t="s">
        <v>1</v>
      </c>
      <c r="W18">
        <v>1</v>
      </c>
      <c r="X18">
        <v>0</v>
      </c>
      <c r="Y18">
        <v>0</v>
      </c>
      <c r="Z18">
        <v>4.5699999999999998E-2</v>
      </c>
      <c r="AA18" t="s">
        <v>13</v>
      </c>
      <c r="AB18">
        <v>1.2999999999999999E-2</v>
      </c>
      <c r="AC18" t="s">
        <v>1</v>
      </c>
    </row>
    <row r="19" spans="1:29">
      <c r="B19" t="s">
        <v>1</v>
      </c>
      <c r="C19">
        <v>0.20499999999999999</v>
      </c>
      <c r="D19">
        <v>0.29499999999999998</v>
      </c>
      <c r="E19">
        <v>0.27279999999999999</v>
      </c>
      <c r="F19">
        <v>1</v>
      </c>
      <c r="G19">
        <v>1.2999999999999999E-2</v>
      </c>
      <c r="H19">
        <v>0.1</v>
      </c>
      <c r="I19">
        <v>0.1</v>
      </c>
      <c r="J19">
        <v>0.1</v>
      </c>
      <c r="L19" s="1" t="s">
        <v>1</v>
      </c>
      <c r="M19" s="1">
        <v>1</v>
      </c>
      <c r="N19" s="1">
        <f t="shared" si="1"/>
        <v>0.10249999999999999</v>
      </c>
      <c r="O19" s="1">
        <f t="shared" si="2"/>
        <v>0.14749999999999999</v>
      </c>
      <c r="P19" s="1">
        <f t="shared" si="3"/>
        <v>0.27279999999999999</v>
      </c>
      <c r="V19" t="s">
        <v>1</v>
      </c>
      <c r="W19">
        <v>1</v>
      </c>
      <c r="X19">
        <v>0</v>
      </c>
      <c r="Y19">
        <v>0.25</v>
      </c>
      <c r="Z19">
        <v>0.95399999999999996</v>
      </c>
      <c r="AA19" t="s">
        <v>13</v>
      </c>
      <c r="AB19">
        <v>1.2999999999999999E-2</v>
      </c>
      <c r="AC19" t="s">
        <v>1</v>
      </c>
    </row>
    <row r="20" spans="1:29">
      <c r="B20" t="s">
        <v>1</v>
      </c>
      <c r="C20">
        <v>0</v>
      </c>
      <c r="D20">
        <v>0.5</v>
      </c>
      <c r="E20">
        <v>0.95398700000000003</v>
      </c>
      <c r="F20">
        <v>1</v>
      </c>
      <c r="G20">
        <v>1.2999999999999999E-2</v>
      </c>
      <c r="H20">
        <v>0.1</v>
      </c>
      <c r="I20">
        <v>0.1</v>
      </c>
      <c r="J20">
        <v>0.1</v>
      </c>
      <c r="L20" s="1" t="s">
        <v>1</v>
      </c>
      <c r="M20" s="1">
        <v>1</v>
      </c>
      <c r="N20" s="1">
        <f t="shared" si="1"/>
        <v>0</v>
      </c>
      <c r="O20" s="1">
        <f t="shared" si="2"/>
        <v>0.25</v>
      </c>
      <c r="P20" s="1">
        <f t="shared" si="3"/>
        <v>0.95398700000000003</v>
      </c>
      <c r="V20" t="s">
        <v>1</v>
      </c>
      <c r="W20">
        <v>1</v>
      </c>
      <c r="X20">
        <v>8.6749999999999994E-2</v>
      </c>
      <c r="Y20">
        <v>0.14710000000000001</v>
      </c>
      <c r="Z20">
        <v>0.27279999999999999</v>
      </c>
      <c r="AA20" t="s">
        <v>13</v>
      </c>
      <c r="AB20">
        <v>1.2999999999999999E-2</v>
      </c>
      <c r="AC20" t="s">
        <v>1</v>
      </c>
    </row>
    <row r="21" spans="1:29">
      <c r="B21" t="s">
        <v>1</v>
      </c>
      <c r="C21">
        <v>0</v>
      </c>
      <c r="D21">
        <v>0</v>
      </c>
      <c r="E21">
        <v>4.5738000000000001E-2</v>
      </c>
      <c r="F21">
        <v>1</v>
      </c>
      <c r="G21">
        <v>1.2999999999999999E-2</v>
      </c>
      <c r="H21">
        <v>0.1</v>
      </c>
      <c r="I21">
        <v>0.1</v>
      </c>
      <c r="J21">
        <v>0.1</v>
      </c>
      <c r="L21" s="1" t="s">
        <v>1</v>
      </c>
      <c r="M21" s="1">
        <v>1</v>
      </c>
      <c r="N21" s="1">
        <f t="shared" si="1"/>
        <v>0</v>
      </c>
      <c r="O21" s="1">
        <f t="shared" si="2"/>
        <v>0</v>
      </c>
      <c r="P21" s="1">
        <f t="shared" si="3"/>
        <v>4.5738000000000001E-2</v>
      </c>
      <c r="V21" t="s">
        <v>1</v>
      </c>
      <c r="W21">
        <v>1</v>
      </c>
      <c r="X21">
        <v>8.6749999999999994E-2</v>
      </c>
      <c r="Y21">
        <v>0.39710000000000001</v>
      </c>
      <c r="Z21">
        <v>0.72689999999999999</v>
      </c>
      <c r="AA21" t="s">
        <v>13</v>
      </c>
      <c r="AB21">
        <v>1.2999999999999999E-2</v>
      </c>
      <c r="AC21" t="s">
        <v>1</v>
      </c>
    </row>
    <row r="22" spans="1:29">
      <c r="B22" t="s">
        <v>2</v>
      </c>
      <c r="C22">
        <v>0.5</v>
      </c>
      <c r="D22">
        <v>0.5</v>
      </c>
      <c r="E22">
        <v>0</v>
      </c>
      <c r="F22">
        <v>1</v>
      </c>
      <c r="G22">
        <v>4.7999999999999996E-3</v>
      </c>
      <c r="H22">
        <v>0.1</v>
      </c>
      <c r="I22">
        <v>0.1</v>
      </c>
      <c r="J22">
        <v>0.1</v>
      </c>
      <c r="L22" s="1" t="s">
        <v>2</v>
      </c>
      <c r="M22" s="1">
        <v>1</v>
      </c>
      <c r="N22" s="1">
        <f t="shared" si="1"/>
        <v>0.25</v>
      </c>
      <c r="O22" s="1">
        <f t="shared" si="2"/>
        <v>0.25</v>
      </c>
      <c r="P22" s="1">
        <f t="shared" si="3"/>
        <v>0</v>
      </c>
      <c r="V22" t="s">
        <v>1</v>
      </c>
      <c r="W22">
        <v>1</v>
      </c>
      <c r="X22">
        <v>0.16325000000000001</v>
      </c>
      <c r="Y22">
        <v>0.10290000000000001</v>
      </c>
      <c r="Z22">
        <v>0.77290000000000003</v>
      </c>
      <c r="AA22" t="s">
        <v>13</v>
      </c>
      <c r="AB22">
        <v>1.2999999999999999E-2</v>
      </c>
      <c r="AC22" t="s">
        <v>1</v>
      </c>
    </row>
    <row r="23" spans="1:29">
      <c r="B23" t="s">
        <v>2</v>
      </c>
      <c r="C23">
        <v>0.5</v>
      </c>
      <c r="D23">
        <v>0</v>
      </c>
      <c r="E23">
        <v>0</v>
      </c>
      <c r="F23">
        <v>1</v>
      </c>
      <c r="G23">
        <v>4.7999999999999996E-3</v>
      </c>
      <c r="H23">
        <v>0.1</v>
      </c>
      <c r="I23">
        <v>0.1</v>
      </c>
      <c r="J23">
        <v>0.1</v>
      </c>
      <c r="L23" s="1" t="s">
        <v>2</v>
      </c>
      <c r="M23" s="1">
        <v>1</v>
      </c>
      <c r="N23" s="1">
        <f t="shared" si="1"/>
        <v>0.25</v>
      </c>
      <c r="O23" s="1">
        <f t="shared" si="2"/>
        <v>0</v>
      </c>
      <c r="P23" s="1">
        <f t="shared" si="3"/>
        <v>0</v>
      </c>
      <c r="V23" t="s">
        <v>1</v>
      </c>
      <c r="W23">
        <v>1</v>
      </c>
      <c r="X23">
        <v>0.16325000000000001</v>
      </c>
      <c r="Y23">
        <v>0.35289999999999999</v>
      </c>
      <c r="Z23">
        <v>0.2268</v>
      </c>
      <c r="AA23" t="s">
        <v>13</v>
      </c>
      <c r="AB23">
        <v>1.2999999999999999E-2</v>
      </c>
      <c r="AC23" t="s">
        <v>1</v>
      </c>
    </row>
    <row r="24" spans="1:29">
      <c r="B24" t="s">
        <v>2</v>
      </c>
      <c r="C24">
        <v>0</v>
      </c>
      <c r="D24">
        <v>0.5</v>
      </c>
      <c r="E24">
        <v>0.499863</v>
      </c>
      <c r="F24">
        <v>1</v>
      </c>
      <c r="G24">
        <v>4.7999999999999996E-3</v>
      </c>
      <c r="H24">
        <v>0.1</v>
      </c>
      <c r="I24">
        <v>0.1</v>
      </c>
      <c r="J24">
        <v>0.1</v>
      </c>
      <c r="L24" s="1" t="s">
        <v>2</v>
      </c>
      <c r="M24" s="1">
        <v>1</v>
      </c>
      <c r="N24" s="1">
        <f t="shared" si="1"/>
        <v>0</v>
      </c>
      <c r="O24" s="1">
        <f t="shared" si="2"/>
        <v>0.25</v>
      </c>
      <c r="P24" s="1">
        <f t="shared" si="3"/>
        <v>0.499863</v>
      </c>
      <c r="V24" t="s">
        <v>1</v>
      </c>
      <c r="W24">
        <v>1</v>
      </c>
      <c r="X24">
        <v>0.25</v>
      </c>
      <c r="Y24">
        <v>0</v>
      </c>
      <c r="Z24">
        <v>0.45379999999999998</v>
      </c>
      <c r="AA24" t="s">
        <v>13</v>
      </c>
      <c r="AB24">
        <v>1.2999999999999999E-2</v>
      </c>
      <c r="AC24" t="s">
        <v>1</v>
      </c>
    </row>
    <row r="25" spans="1:29">
      <c r="B25" t="s">
        <v>2</v>
      </c>
      <c r="C25">
        <v>0</v>
      </c>
      <c r="D25">
        <v>0</v>
      </c>
      <c r="E25">
        <v>0.499863</v>
      </c>
      <c r="F25">
        <v>1</v>
      </c>
      <c r="G25">
        <v>4.7999999999999996E-3</v>
      </c>
      <c r="H25">
        <v>0.1</v>
      </c>
      <c r="I25">
        <v>0.1</v>
      </c>
      <c r="J25">
        <v>0.1</v>
      </c>
      <c r="L25" s="1" t="s">
        <v>2</v>
      </c>
      <c r="M25" s="1">
        <v>1</v>
      </c>
      <c r="N25" s="1">
        <f t="shared" si="1"/>
        <v>0</v>
      </c>
      <c r="O25" s="1">
        <f t="shared" si="2"/>
        <v>0</v>
      </c>
      <c r="P25" s="1">
        <f t="shared" si="3"/>
        <v>0.499863</v>
      </c>
      <c r="V25" t="s">
        <v>1</v>
      </c>
      <c r="W25">
        <v>1</v>
      </c>
      <c r="X25">
        <v>0.25</v>
      </c>
      <c r="Y25">
        <v>0.25</v>
      </c>
      <c r="Z25">
        <v>0.54590000000000005</v>
      </c>
      <c r="AA25" t="s">
        <v>13</v>
      </c>
      <c r="AB25">
        <v>1.2999999999999999E-2</v>
      </c>
      <c r="AC25" t="s">
        <v>1</v>
      </c>
    </row>
    <row r="26" spans="1:29">
      <c r="B26" t="s">
        <v>3</v>
      </c>
      <c r="C26">
        <v>0.5</v>
      </c>
      <c r="D26">
        <v>0.75</v>
      </c>
      <c r="E26">
        <v>0.499863</v>
      </c>
      <c r="F26">
        <v>1</v>
      </c>
      <c r="G26">
        <v>4.0000000000000001E-3</v>
      </c>
      <c r="H26">
        <v>0.1</v>
      </c>
      <c r="I26">
        <v>0.1</v>
      </c>
      <c r="J26">
        <v>0.1</v>
      </c>
      <c r="L26" s="1" t="s">
        <v>3</v>
      </c>
      <c r="M26" s="1">
        <v>1</v>
      </c>
      <c r="N26" s="1">
        <f t="shared" si="1"/>
        <v>0.25</v>
      </c>
      <c r="O26" s="1">
        <f t="shared" si="2"/>
        <v>0.375</v>
      </c>
      <c r="P26" s="1">
        <f t="shared" si="3"/>
        <v>0.499863</v>
      </c>
      <c r="V26" t="s">
        <v>1</v>
      </c>
      <c r="W26">
        <v>1</v>
      </c>
      <c r="X26">
        <v>0.33674999999999999</v>
      </c>
      <c r="Y26">
        <v>0.14710000000000001</v>
      </c>
      <c r="Z26">
        <v>0.2268</v>
      </c>
      <c r="AA26" t="s">
        <v>13</v>
      </c>
      <c r="AB26">
        <v>1.2999999999999999E-2</v>
      </c>
      <c r="AC26" t="s">
        <v>1</v>
      </c>
    </row>
    <row r="27" spans="1:29">
      <c r="B27" t="s">
        <v>3</v>
      </c>
      <c r="C27">
        <v>0.5</v>
      </c>
      <c r="D27">
        <v>0.25</v>
      </c>
      <c r="E27">
        <v>0.499863</v>
      </c>
      <c r="F27">
        <v>1</v>
      </c>
      <c r="G27">
        <v>4.0000000000000001E-3</v>
      </c>
      <c r="H27">
        <v>0.1</v>
      </c>
      <c r="I27">
        <v>0.1</v>
      </c>
      <c r="J27">
        <v>0.1</v>
      </c>
      <c r="L27" s="1" t="s">
        <v>3</v>
      </c>
      <c r="M27" s="1">
        <v>1</v>
      </c>
      <c r="N27" s="1">
        <f t="shared" si="1"/>
        <v>0.25</v>
      </c>
      <c r="O27" s="1">
        <f t="shared" si="2"/>
        <v>0.125</v>
      </c>
      <c r="P27" s="1">
        <f t="shared" si="3"/>
        <v>0.499863</v>
      </c>
      <c r="V27" t="s">
        <v>1</v>
      </c>
      <c r="W27">
        <v>1</v>
      </c>
      <c r="X27">
        <v>0.33674999999999999</v>
      </c>
      <c r="Y27">
        <v>0.39710000000000001</v>
      </c>
      <c r="Z27">
        <v>0.77290000000000003</v>
      </c>
      <c r="AA27" t="s">
        <v>13</v>
      </c>
      <c r="AB27">
        <v>1.2999999999999999E-2</v>
      </c>
      <c r="AC27" t="s">
        <v>1</v>
      </c>
    </row>
    <row r="28" spans="1:29">
      <c r="B28" t="s">
        <v>3</v>
      </c>
      <c r="C28">
        <v>0</v>
      </c>
      <c r="D28">
        <v>0.75</v>
      </c>
      <c r="E28">
        <v>0</v>
      </c>
      <c r="F28">
        <v>1</v>
      </c>
      <c r="G28">
        <v>4.0000000000000001E-3</v>
      </c>
      <c r="H28">
        <v>0.1</v>
      </c>
      <c r="I28">
        <v>0.1</v>
      </c>
      <c r="J28">
        <v>0.1</v>
      </c>
      <c r="L28" s="1" t="s">
        <v>3</v>
      </c>
      <c r="M28" s="1">
        <v>1</v>
      </c>
      <c r="N28" s="1">
        <f t="shared" si="1"/>
        <v>0</v>
      </c>
      <c r="O28" s="1">
        <f t="shared" si="2"/>
        <v>0.375</v>
      </c>
      <c r="P28" s="1">
        <f t="shared" si="3"/>
        <v>0</v>
      </c>
      <c r="V28" t="s">
        <v>1</v>
      </c>
      <c r="W28">
        <v>1</v>
      </c>
      <c r="X28">
        <v>0.41325000000000001</v>
      </c>
      <c r="Y28">
        <v>0.10290000000000001</v>
      </c>
      <c r="Z28">
        <v>0.72689999999999999</v>
      </c>
      <c r="AA28" t="s">
        <v>13</v>
      </c>
      <c r="AB28">
        <v>1.2999999999999999E-2</v>
      </c>
      <c r="AC28" t="s">
        <v>1</v>
      </c>
    </row>
    <row r="29" spans="1:29">
      <c r="B29" t="s">
        <v>3</v>
      </c>
      <c r="C29">
        <v>0</v>
      </c>
      <c r="D29">
        <v>0.25</v>
      </c>
      <c r="E29">
        <v>0</v>
      </c>
      <c r="F29">
        <v>1</v>
      </c>
      <c r="G29">
        <v>4.0000000000000001E-3</v>
      </c>
      <c r="H29">
        <v>0.1</v>
      </c>
      <c r="I29">
        <v>0.1</v>
      </c>
      <c r="J29">
        <v>0.1</v>
      </c>
      <c r="L29" s="1" t="s">
        <v>3</v>
      </c>
      <c r="M29" s="1">
        <v>1</v>
      </c>
      <c r="N29" s="1">
        <f t="shared" si="1"/>
        <v>0</v>
      </c>
      <c r="O29" s="1">
        <f t="shared" si="2"/>
        <v>0.125</v>
      </c>
      <c r="P29" s="1">
        <f t="shared" si="3"/>
        <v>0</v>
      </c>
      <c r="V29" t="s">
        <v>1</v>
      </c>
      <c r="W29">
        <v>1</v>
      </c>
      <c r="X29">
        <v>0.41325000000000001</v>
      </c>
      <c r="Y29">
        <v>0.35289999999999999</v>
      </c>
      <c r="Z29">
        <v>0.27279999999999999</v>
      </c>
      <c r="AA29" t="s">
        <v>13</v>
      </c>
      <c r="AB29">
        <v>1.2999999999999999E-2</v>
      </c>
      <c r="AC29" t="s">
        <v>1</v>
      </c>
    </row>
    <row r="30" spans="1:29">
      <c r="A30" s="3" t="s">
        <v>14</v>
      </c>
      <c r="V30" t="s">
        <v>2</v>
      </c>
      <c r="W30">
        <v>1</v>
      </c>
      <c r="X30">
        <v>0</v>
      </c>
      <c r="Y30">
        <v>0</v>
      </c>
      <c r="Z30">
        <v>0.49990000000000001</v>
      </c>
      <c r="AA30" t="s">
        <v>13</v>
      </c>
      <c r="AB30">
        <v>4.7999999999999996E-3</v>
      </c>
      <c r="AC30" t="s">
        <v>2</v>
      </c>
    </row>
    <row r="31" spans="1:29">
      <c r="A31" t="s">
        <v>0</v>
      </c>
      <c r="B31">
        <v>0.79749999999999999</v>
      </c>
      <c r="C31">
        <v>0.96130000000000004</v>
      </c>
      <c r="D31">
        <v>0.83109500000000003</v>
      </c>
      <c r="E31">
        <v>1</v>
      </c>
      <c r="F31">
        <v>3.0000000000000001E-3</v>
      </c>
      <c r="G31">
        <v>0.1</v>
      </c>
      <c r="H31">
        <v>0.1</v>
      </c>
      <c r="I31">
        <v>0.1</v>
      </c>
      <c r="L31" s="1" t="s">
        <v>0</v>
      </c>
      <c r="M31" s="1">
        <v>1</v>
      </c>
      <c r="N31" s="1">
        <f>C2/2+0.5</f>
        <v>0.89874999999999994</v>
      </c>
      <c r="O31" s="1">
        <f>D2/2</f>
        <v>0.48065000000000002</v>
      </c>
      <c r="P31" s="1">
        <f>E2</f>
        <v>0.83109500000000003</v>
      </c>
      <c r="V31" t="s">
        <v>2</v>
      </c>
      <c r="W31">
        <v>1</v>
      </c>
      <c r="X31">
        <v>0</v>
      </c>
      <c r="Y31">
        <v>0.25</v>
      </c>
      <c r="Z31">
        <v>0.49990000000000001</v>
      </c>
      <c r="AA31" t="s">
        <v>13</v>
      </c>
      <c r="AB31">
        <v>4.7999999999999996E-3</v>
      </c>
      <c r="AC31" t="s">
        <v>2</v>
      </c>
    </row>
    <row r="32" spans="1:29">
      <c r="A32" t="s">
        <v>0</v>
      </c>
      <c r="B32">
        <v>0.79749999999999999</v>
      </c>
      <c r="C32">
        <v>0.96130000000000004</v>
      </c>
      <c r="D32">
        <v>0.69630499999999995</v>
      </c>
      <c r="E32">
        <v>0</v>
      </c>
      <c r="F32">
        <v>3.0000000000000001E-3</v>
      </c>
      <c r="G32">
        <v>0.1</v>
      </c>
      <c r="H32">
        <v>0.1</v>
      </c>
      <c r="I32">
        <v>0.1</v>
      </c>
      <c r="L32" s="1" t="s">
        <v>0</v>
      </c>
      <c r="M32" s="1">
        <v>0</v>
      </c>
      <c r="N32" s="1">
        <f t="shared" ref="N32:O58" si="4">C3/2+0.5</f>
        <v>0.89874999999999994</v>
      </c>
      <c r="O32" s="1">
        <f t="shared" ref="O32:O58" si="5">D3/2</f>
        <v>0.48065000000000002</v>
      </c>
      <c r="P32" s="1">
        <f t="shared" ref="P32:P58" si="6">E3</f>
        <v>0.69630499999999995</v>
      </c>
      <c r="V32" t="s">
        <v>2</v>
      </c>
      <c r="W32">
        <v>1</v>
      </c>
      <c r="X32">
        <v>0.25</v>
      </c>
      <c r="Y32">
        <v>0</v>
      </c>
      <c r="Z32">
        <v>0</v>
      </c>
      <c r="AA32" t="s">
        <v>13</v>
      </c>
      <c r="AB32">
        <v>4.7999999999999996E-3</v>
      </c>
      <c r="AC32" t="s">
        <v>2</v>
      </c>
    </row>
    <row r="33" spans="1:29">
      <c r="A33" t="s">
        <v>0</v>
      </c>
      <c r="B33">
        <v>0.79749999999999999</v>
      </c>
      <c r="C33">
        <v>0.46129999999999999</v>
      </c>
      <c r="D33">
        <v>0.83109500000000003</v>
      </c>
      <c r="E33">
        <v>1</v>
      </c>
      <c r="F33">
        <v>3.0000000000000001E-3</v>
      </c>
      <c r="G33">
        <v>0.1</v>
      </c>
      <c r="H33">
        <v>0.1</v>
      </c>
      <c r="I33">
        <v>0.1</v>
      </c>
      <c r="L33" s="1" t="s">
        <v>0</v>
      </c>
      <c r="M33" s="1">
        <v>1</v>
      </c>
      <c r="N33" s="1">
        <f t="shared" si="4"/>
        <v>0.89874999999999994</v>
      </c>
      <c r="O33" s="1">
        <f t="shared" si="5"/>
        <v>0.23064999999999999</v>
      </c>
      <c r="P33" s="1">
        <f t="shared" si="6"/>
        <v>0.83109500000000003</v>
      </c>
      <c r="V33" t="s">
        <v>2</v>
      </c>
      <c r="W33">
        <v>1</v>
      </c>
      <c r="X33">
        <v>0.25</v>
      </c>
      <c r="Y33">
        <v>0.25</v>
      </c>
      <c r="Z33">
        <v>0</v>
      </c>
      <c r="AA33" t="s">
        <v>13</v>
      </c>
      <c r="AB33">
        <v>4.7999999999999996E-3</v>
      </c>
      <c r="AC33" t="s">
        <v>2</v>
      </c>
    </row>
    <row r="34" spans="1:29">
      <c r="A34" t="s">
        <v>0</v>
      </c>
      <c r="B34">
        <v>0.79749999999999999</v>
      </c>
      <c r="C34">
        <v>0.46129999999999999</v>
      </c>
      <c r="D34">
        <v>0.69630499999999995</v>
      </c>
      <c r="E34">
        <v>0</v>
      </c>
      <c r="F34">
        <v>3.0000000000000001E-3</v>
      </c>
      <c r="G34">
        <v>0.1</v>
      </c>
      <c r="H34">
        <v>0.1</v>
      </c>
      <c r="I34">
        <v>0.1</v>
      </c>
      <c r="L34" s="1" t="s">
        <v>0</v>
      </c>
      <c r="M34" s="1">
        <v>0</v>
      </c>
      <c r="N34" s="1">
        <f t="shared" si="4"/>
        <v>0.89874999999999994</v>
      </c>
      <c r="O34" s="1">
        <f t="shared" si="5"/>
        <v>0.23064999999999999</v>
      </c>
      <c r="P34" s="1">
        <f t="shared" si="6"/>
        <v>0.69630499999999995</v>
      </c>
      <c r="V34" t="s">
        <v>3</v>
      </c>
      <c r="W34">
        <v>1</v>
      </c>
      <c r="X34">
        <v>0</v>
      </c>
      <c r="Y34">
        <v>0.125</v>
      </c>
      <c r="Z34">
        <v>0</v>
      </c>
      <c r="AA34" t="s">
        <v>13</v>
      </c>
      <c r="AB34">
        <v>4.0000000000000001E-3</v>
      </c>
      <c r="AC34" t="s">
        <v>3</v>
      </c>
    </row>
    <row r="35" spans="1:29">
      <c r="A35" t="s">
        <v>0</v>
      </c>
      <c r="B35">
        <v>0.29749999999999999</v>
      </c>
      <c r="C35">
        <v>0.96130000000000004</v>
      </c>
      <c r="D35">
        <v>0.33009500000000003</v>
      </c>
      <c r="E35">
        <v>1</v>
      </c>
      <c r="F35">
        <v>3.0000000000000001E-3</v>
      </c>
      <c r="G35">
        <v>0.1</v>
      </c>
      <c r="H35">
        <v>0.1</v>
      </c>
      <c r="I35">
        <v>0.1</v>
      </c>
      <c r="L35" s="1" t="s">
        <v>0</v>
      </c>
      <c r="M35" s="1">
        <v>1</v>
      </c>
      <c r="N35" s="1">
        <f t="shared" si="4"/>
        <v>0.64874999999999994</v>
      </c>
      <c r="O35" s="1">
        <f t="shared" si="5"/>
        <v>0.48065000000000002</v>
      </c>
      <c r="P35" s="1">
        <f t="shared" si="6"/>
        <v>0.33009500000000003</v>
      </c>
      <c r="V35" t="s">
        <v>3</v>
      </c>
      <c r="W35">
        <v>1</v>
      </c>
      <c r="X35">
        <v>0</v>
      </c>
      <c r="Y35">
        <v>0.375</v>
      </c>
      <c r="Z35">
        <v>0</v>
      </c>
      <c r="AA35" t="s">
        <v>13</v>
      </c>
      <c r="AB35">
        <v>4.0000000000000001E-3</v>
      </c>
      <c r="AC35" t="s">
        <v>3</v>
      </c>
    </row>
    <row r="36" spans="1:29">
      <c r="A36" t="s">
        <v>0</v>
      </c>
      <c r="B36">
        <v>0.29749999999999999</v>
      </c>
      <c r="C36">
        <v>0.96130000000000004</v>
      </c>
      <c r="D36">
        <v>0.19530500000000001</v>
      </c>
      <c r="E36">
        <v>0</v>
      </c>
      <c r="F36">
        <v>3.0000000000000001E-3</v>
      </c>
      <c r="G36">
        <v>0.1</v>
      </c>
      <c r="H36">
        <v>0.1</v>
      </c>
      <c r="I36">
        <v>0.1</v>
      </c>
      <c r="L36" s="1" t="s">
        <v>0</v>
      </c>
      <c r="M36" s="1">
        <v>0</v>
      </c>
      <c r="N36" s="1">
        <f t="shared" si="4"/>
        <v>0.64874999999999994</v>
      </c>
      <c r="O36" s="1">
        <f t="shared" si="5"/>
        <v>0.48065000000000002</v>
      </c>
      <c r="P36" s="1">
        <f t="shared" si="6"/>
        <v>0.19530500000000001</v>
      </c>
      <c r="V36" t="s">
        <v>3</v>
      </c>
      <c r="W36">
        <v>1</v>
      </c>
      <c r="X36">
        <v>0.25</v>
      </c>
      <c r="Y36">
        <v>0.125</v>
      </c>
      <c r="Z36">
        <v>0.49990000000000001</v>
      </c>
      <c r="AA36" t="s">
        <v>13</v>
      </c>
      <c r="AB36">
        <v>4.0000000000000001E-3</v>
      </c>
      <c r="AC36" t="s">
        <v>3</v>
      </c>
    </row>
    <row r="37" spans="1:29">
      <c r="A37" t="s">
        <v>0</v>
      </c>
      <c r="B37">
        <v>0.29749999999999999</v>
      </c>
      <c r="C37">
        <v>0.46129999999999999</v>
      </c>
      <c r="D37">
        <v>0.33009500000000003</v>
      </c>
      <c r="E37">
        <v>1</v>
      </c>
      <c r="F37">
        <v>3.0000000000000001E-3</v>
      </c>
      <c r="G37">
        <v>0.1</v>
      </c>
      <c r="H37">
        <v>0.1</v>
      </c>
      <c r="I37">
        <v>0.1</v>
      </c>
      <c r="L37" s="1" t="s">
        <v>0</v>
      </c>
      <c r="M37" s="1">
        <v>1</v>
      </c>
      <c r="N37" s="1">
        <f t="shared" si="4"/>
        <v>0.64874999999999994</v>
      </c>
      <c r="O37" s="1">
        <f t="shared" si="5"/>
        <v>0.23064999999999999</v>
      </c>
      <c r="P37" s="1">
        <f t="shared" si="6"/>
        <v>0.33009500000000003</v>
      </c>
      <c r="V37" t="s">
        <v>3</v>
      </c>
      <c r="W37">
        <v>1</v>
      </c>
      <c r="X37">
        <v>0.25</v>
      </c>
      <c r="Y37">
        <v>0.375</v>
      </c>
      <c r="Z37">
        <v>0.49990000000000001</v>
      </c>
      <c r="AA37" t="s">
        <v>13</v>
      </c>
      <c r="AB37">
        <v>4.0000000000000001E-3</v>
      </c>
      <c r="AC37" t="s">
        <v>3</v>
      </c>
    </row>
    <row r="38" spans="1:29">
      <c r="A38" t="s">
        <v>0</v>
      </c>
      <c r="B38">
        <v>0.29749999999999999</v>
      </c>
      <c r="C38">
        <v>0.46129999999999999</v>
      </c>
      <c r="D38">
        <v>0.19530500000000001</v>
      </c>
      <c r="E38">
        <v>0</v>
      </c>
      <c r="F38">
        <v>3.0000000000000001E-3</v>
      </c>
      <c r="G38">
        <v>0.1</v>
      </c>
      <c r="H38">
        <v>0.1</v>
      </c>
      <c r="I38">
        <v>0.1</v>
      </c>
      <c r="L38" s="1" t="s">
        <v>0</v>
      </c>
      <c r="M38" s="1">
        <v>0</v>
      </c>
      <c r="N38" s="1">
        <f t="shared" si="4"/>
        <v>0.64874999999999994</v>
      </c>
      <c r="O38" s="1">
        <f t="shared" si="5"/>
        <v>0.23064999999999999</v>
      </c>
      <c r="P38" s="1">
        <f t="shared" si="6"/>
        <v>0.19530500000000001</v>
      </c>
    </row>
    <row r="39" spans="1:29">
      <c r="A39" t="s">
        <v>1</v>
      </c>
      <c r="B39">
        <v>0.81123699999999999</v>
      </c>
      <c r="C39">
        <v>0.71464499999999997</v>
      </c>
      <c r="D39">
        <v>0.27280100000000002</v>
      </c>
      <c r="E39">
        <v>1</v>
      </c>
      <c r="F39">
        <v>1.2999999999999999E-2</v>
      </c>
      <c r="G39">
        <v>0.1</v>
      </c>
      <c r="H39">
        <v>0.1</v>
      </c>
      <c r="I39">
        <v>0.1</v>
      </c>
      <c r="L39" s="1" t="s">
        <v>1</v>
      </c>
      <c r="M39" s="1">
        <v>1</v>
      </c>
      <c r="N39" s="1">
        <f t="shared" si="4"/>
        <v>0.89749999999999996</v>
      </c>
      <c r="O39" s="1">
        <f t="shared" si="5"/>
        <v>0.35249999999999998</v>
      </c>
      <c r="P39" s="1">
        <f t="shared" si="6"/>
        <v>0.27280100000000002</v>
      </c>
    </row>
    <row r="40" spans="1:29">
      <c r="A40" t="s">
        <v>1</v>
      </c>
      <c r="B40">
        <v>0.81123699999999999</v>
      </c>
      <c r="C40">
        <v>0.214645</v>
      </c>
      <c r="D40">
        <v>0.72692500000000004</v>
      </c>
      <c r="E40">
        <v>1</v>
      </c>
      <c r="F40">
        <v>1.2999999999999999E-2</v>
      </c>
      <c r="G40">
        <v>0.1</v>
      </c>
      <c r="H40">
        <v>0.1</v>
      </c>
      <c r="I40">
        <v>0.1</v>
      </c>
      <c r="L40" s="1" t="s">
        <v>1</v>
      </c>
      <c r="M40" s="1">
        <v>1</v>
      </c>
      <c r="N40" s="1">
        <f t="shared" si="4"/>
        <v>0.89749999999999996</v>
      </c>
      <c r="O40" s="1">
        <f t="shared" si="5"/>
        <v>0.10249999999999999</v>
      </c>
      <c r="P40" s="1">
        <f t="shared" si="6"/>
        <v>0.72692500000000004</v>
      </c>
    </row>
    <row r="41" spans="1:29">
      <c r="A41" t="s">
        <v>1</v>
      </c>
      <c r="B41">
        <v>0.68876300000000001</v>
      </c>
      <c r="C41">
        <v>0.78535500000000003</v>
      </c>
      <c r="D41">
        <v>0.77293800000000001</v>
      </c>
      <c r="E41">
        <v>1</v>
      </c>
      <c r="F41">
        <v>1.2999999999999999E-2</v>
      </c>
      <c r="G41">
        <v>0.1</v>
      </c>
      <c r="H41">
        <v>0.1</v>
      </c>
      <c r="I41">
        <v>0.1</v>
      </c>
      <c r="L41" s="1" t="s">
        <v>1</v>
      </c>
      <c r="M41" s="1">
        <v>1</v>
      </c>
      <c r="N41" s="1">
        <f t="shared" si="4"/>
        <v>0.85250000000000004</v>
      </c>
      <c r="O41" s="1">
        <f t="shared" si="5"/>
        <v>0.39750000000000002</v>
      </c>
      <c r="P41" s="1">
        <f t="shared" si="6"/>
        <v>0.77293800000000001</v>
      </c>
    </row>
    <row r="42" spans="1:29">
      <c r="A42" t="s">
        <v>1</v>
      </c>
      <c r="B42">
        <v>0.68876300000000001</v>
      </c>
      <c r="C42">
        <v>0.28535500000000003</v>
      </c>
      <c r="D42">
        <v>0.22678799999999999</v>
      </c>
      <c r="E42">
        <v>1</v>
      </c>
      <c r="F42">
        <v>1.2999999999999999E-2</v>
      </c>
      <c r="G42">
        <v>0.1</v>
      </c>
      <c r="H42">
        <v>0.1</v>
      </c>
      <c r="I42">
        <v>0.1</v>
      </c>
      <c r="L42" s="1" t="s">
        <v>1</v>
      </c>
      <c r="M42" s="1">
        <v>1</v>
      </c>
      <c r="N42" s="1">
        <f t="shared" si="4"/>
        <v>0.85250000000000004</v>
      </c>
      <c r="O42" s="1">
        <f t="shared" si="5"/>
        <v>0.14749999999999999</v>
      </c>
      <c r="P42" s="1">
        <f t="shared" si="6"/>
        <v>0.22678799999999999</v>
      </c>
    </row>
    <row r="43" spans="1:29">
      <c r="A43" t="s">
        <v>1</v>
      </c>
      <c r="B43">
        <v>0.5</v>
      </c>
      <c r="C43">
        <v>0.5</v>
      </c>
      <c r="D43">
        <v>0.545875</v>
      </c>
      <c r="E43">
        <v>1</v>
      </c>
      <c r="F43">
        <v>1.2999999999999999E-2</v>
      </c>
      <c r="G43">
        <v>0.1</v>
      </c>
      <c r="H43">
        <v>0.1</v>
      </c>
      <c r="I43">
        <v>0.1</v>
      </c>
      <c r="L43" s="1" t="s">
        <v>1</v>
      </c>
      <c r="M43" s="1">
        <v>1</v>
      </c>
      <c r="N43" s="1">
        <f t="shared" si="4"/>
        <v>0.75</v>
      </c>
      <c r="O43" s="1">
        <f t="shared" si="5"/>
        <v>0.25</v>
      </c>
      <c r="P43" s="1">
        <f t="shared" si="6"/>
        <v>0.545875</v>
      </c>
    </row>
    <row r="44" spans="1:29">
      <c r="A44" t="s">
        <v>1</v>
      </c>
      <c r="B44">
        <v>0.5</v>
      </c>
      <c r="C44">
        <v>0</v>
      </c>
      <c r="D44">
        <v>0.45384999999999998</v>
      </c>
      <c r="E44">
        <v>1</v>
      </c>
      <c r="F44">
        <v>1.2999999999999999E-2</v>
      </c>
      <c r="G44">
        <v>0.1</v>
      </c>
      <c r="H44">
        <v>0.1</v>
      </c>
      <c r="I44">
        <v>0.1</v>
      </c>
      <c r="L44" s="1" t="s">
        <v>1</v>
      </c>
      <c r="M44" s="1">
        <v>1</v>
      </c>
      <c r="N44" s="1">
        <f t="shared" si="4"/>
        <v>0.75</v>
      </c>
      <c r="O44" s="1">
        <f t="shared" si="5"/>
        <v>0</v>
      </c>
      <c r="P44" s="1">
        <f t="shared" si="6"/>
        <v>0.45384999999999998</v>
      </c>
    </row>
    <row r="45" spans="1:29">
      <c r="A45" t="s">
        <v>1</v>
      </c>
      <c r="B45">
        <v>0.31123699999999999</v>
      </c>
      <c r="C45">
        <v>0.71464499999999997</v>
      </c>
      <c r="D45">
        <v>0.22678799999999999</v>
      </c>
      <c r="E45">
        <v>1</v>
      </c>
      <c r="F45">
        <v>1.2999999999999999E-2</v>
      </c>
      <c r="G45">
        <v>0.1</v>
      </c>
      <c r="H45">
        <v>0.1</v>
      </c>
      <c r="I45">
        <v>0.1</v>
      </c>
      <c r="L45" s="1" t="s">
        <v>1</v>
      </c>
      <c r="M45" s="1">
        <v>1</v>
      </c>
      <c r="N45" s="1">
        <f t="shared" si="4"/>
        <v>0.64749999999999996</v>
      </c>
      <c r="O45" s="1">
        <f t="shared" si="5"/>
        <v>0.35249999999999998</v>
      </c>
      <c r="P45" s="1">
        <f t="shared" si="6"/>
        <v>0.22678799999999999</v>
      </c>
    </row>
    <row r="46" spans="1:29">
      <c r="A46" t="s">
        <v>1</v>
      </c>
      <c r="B46">
        <v>0.31123699999999999</v>
      </c>
      <c r="C46">
        <v>0.214645</v>
      </c>
      <c r="D46">
        <v>0.77293800000000001</v>
      </c>
      <c r="E46">
        <v>1</v>
      </c>
      <c r="F46">
        <v>1.2999999999999999E-2</v>
      </c>
      <c r="G46">
        <v>0.1</v>
      </c>
      <c r="H46">
        <v>0.1</v>
      </c>
      <c r="I46">
        <v>0.1</v>
      </c>
      <c r="L46" s="1" t="s">
        <v>1</v>
      </c>
      <c r="M46" s="1">
        <v>1</v>
      </c>
      <c r="N46" s="1">
        <f t="shared" si="4"/>
        <v>0.64749999999999996</v>
      </c>
      <c r="O46" s="1">
        <f t="shared" si="5"/>
        <v>0.10249999999999999</v>
      </c>
      <c r="P46" s="1">
        <f t="shared" si="6"/>
        <v>0.77293800000000001</v>
      </c>
    </row>
    <row r="47" spans="1:29">
      <c r="A47" t="s">
        <v>1</v>
      </c>
      <c r="B47">
        <v>0.18876299999999999</v>
      </c>
      <c r="C47">
        <v>0.78535500000000003</v>
      </c>
      <c r="D47">
        <v>0.72692500000000004</v>
      </c>
      <c r="E47">
        <v>1</v>
      </c>
      <c r="F47">
        <v>1.2999999999999999E-2</v>
      </c>
      <c r="G47">
        <v>0.1</v>
      </c>
      <c r="H47">
        <v>0.1</v>
      </c>
      <c r="I47">
        <v>0.1</v>
      </c>
      <c r="L47" s="1" t="s">
        <v>1</v>
      </c>
      <c r="M47" s="1">
        <v>1</v>
      </c>
      <c r="N47" s="1">
        <f t="shared" si="4"/>
        <v>0.60250000000000004</v>
      </c>
      <c r="O47" s="1">
        <f t="shared" si="5"/>
        <v>0.39750000000000002</v>
      </c>
      <c r="P47" s="1">
        <f t="shared" si="6"/>
        <v>0.72692500000000004</v>
      </c>
    </row>
    <row r="48" spans="1:29">
      <c r="A48" t="s">
        <v>1</v>
      </c>
      <c r="B48">
        <v>0.18876299999999999</v>
      </c>
      <c r="C48">
        <v>0.28535500000000003</v>
      </c>
      <c r="D48">
        <v>0.27279999999999999</v>
      </c>
      <c r="E48">
        <v>1</v>
      </c>
      <c r="F48">
        <v>1.2999999999999999E-2</v>
      </c>
      <c r="G48">
        <v>0.1</v>
      </c>
      <c r="H48">
        <v>0.1</v>
      </c>
      <c r="I48">
        <v>0.1</v>
      </c>
      <c r="L48" s="1" t="s">
        <v>1</v>
      </c>
      <c r="M48" s="1">
        <v>1</v>
      </c>
      <c r="N48" s="1">
        <f t="shared" si="4"/>
        <v>0.60250000000000004</v>
      </c>
      <c r="O48" s="1">
        <f t="shared" si="5"/>
        <v>0.14749999999999999</v>
      </c>
      <c r="P48" s="1">
        <f t="shared" si="6"/>
        <v>0.27279999999999999</v>
      </c>
    </row>
    <row r="49" spans="1:16">
      <c r="A49" t="s">
        <v>1</v>
      </c>
      <c r="B49">
        <v>0</v>
      </c>
      <c r="C49">
        <v>0.5</v>
      </c>
      <c r="D49">
        <v>0.95398700000000003</v>
      </c>
      <c r="E49">
        <v>1</v>
      </c>
      <c r="F49">
        <v>1.2999999999999999E-2</v>
      </c>
      <c r="G49">
        <v>0.1</v>
      </c>
      <c r="H49">
        <v>0.1</v>
      </c>
      <c r="I49">
        <v>0.1</v>
      </c>
      <c r="L49" s="1" t="s">
        <v>1</v>
      </c>
      <c r="M49" s="1">
        <v>1</v>
      </c>
      <c r="N49" s="1">
        <f t="shared" si="4"/>
        <v>0.5</v>
      </c>
      <c r="O49" s="1">
        <f t="shared" si="5"/>
        <v>0.25</v>
      </c>
      <c r="P49" s="1">
        <f t="shared" si="6"/>
        <v>0.95398700000000003</v>
      </c>
    </row>
    <row r="50" spans="1:16">
      <c r="A50" t="s">
        <v>1</v>
      </c>
      <c r="B50">
        <v>0</v>
      </c>
      <c r="C50">
        <v>0</v>
      </c>
      <c r="D50">
        <v>4.5738000000000001E-2</v>
      </c>
      <c r="E50">
        <v>1</v>
      </c>
      <c r="F50">
        <v>1.2999999999999999E-2</v>
      </c>
      <c r="G50">
        <v>0.1</v>
      </c>
      <c r="H50">
        <v>0.1</v>
      </c>
      <c r="I50">
        <v>0.1</v>
      </c>
      <c r="L50" s="1" t="s">
        <v>1</v>
      </c>
      <c r="M50" s="1">
        <v>1</v>
      </c>
      <c r="N50" s="1">
        <f t="shared" si="4"/>
        <v>0.5</v>
      </c>
      <c r="O50" s="1">
        <f t="shared" si="5"/>
        <v>0</v>
      </c>
      <c r="P50" s="1">
        <f t="shared" si="6"/>
        <v>4.5738000000000001E-2</v>
      </c>
    </row>
    <row r="51" spans="1:16">
      <c r="A51" t="s">
        <v>2</v>
      </c>
      <c r="B51">
        <v>0.5</v>
      </c>
      <c r="C51">
        <v>0.5</v>
      </c>
      <c r="D51">
        <v>0</v>
      </c>
      <c r="E51">
        <v>1</v>
      </c>
      <c r="F51">
        <v>4.7999999999999996E-3</v>
      </c>
      <c r="G51">
        <v>0.1</v>
      </c>
      <c r="H51">
        <v>0.1</v>
      </c>
      <c r="I51">
        <v>0.1</v>
      </c>
      <c r="L51" s="1" t="s">
        <v>2</v>
      </c>
      <c r="M51" s="1">
        <v>1</v>
      </c>
      <c r="N51" s="1">
        <f t="shared" si="4"/>
        <v>0.75</v>
      </c>
      <c r="O51" s="1">
        <f t="shared" si="5"/>
        <v>0.25</v>
      </c>
      <c r="P51" s="1">
        <f t="shared" si="6"/>
        <v>0</v>
      </c>
    </row>
    <row r="52" spans="1:16">
      <c r="A52" t="s">
        <v>2</v>
      </c>
      <c r="B52">
        <v>0.5</v>
      </c>
      <c r="C52">
        <v>0</v>
      </c>
      <c r="D52">
        <v>0</v>
      </c>
      <c r="E52">
        <v>1</v>
      </c>
      <c r="F52">
        <v>4.7999999999999996E-3</v>
      </c>
      <c r="G52">
        <v>0.1</v>
      </c>
      <c r="H52">
        <v>0.1</v>
      </c>
      <c r="I52">
        <v>0.1</v>
      </c>
      <c r="L52" s="1" t="s">
        <v>2</v>
      </c>
      <c r="M52" s="1">
        <v>1</v>
      </c>
      <c r="N52" s="1">
        <f t="shared" si="4"/>
        <v>0.75</v>
      </c>
      <c r="O52" s="1">
        <f t="shared" si="5"/>
        <v>0</v>
      </c>
      <c r="P52" s="1">
        <f t="shared" si="6"/>
        <v>0</v>
      </c>
    </row>
    <row r="53" spans="1:16">
      <c r="A53" t="s">
        <v>2</v>
      </c>
      <c r="B53">
        <v>0</v>
      </c>
      <c r="C53">
        <v>0.5</v>
      </c>
      <c r="D53">
        <v>0.499863</v>
      </c>
      <c r="E53">
        <v>1</v>
      </c>
      <c r="F53">
        <v>4.7999999999999996E-3</v>
      </c>
      <c r="G53">
        <v>0.1</v>
      </c>
      <c r="H53">
        <v>0.1</v>
      </c>
      <c r="I53">
        <v>0.1</v>
      </c>
      <c r="L53" s="1" t="s">
        <v>2</v>
      </c>
      <c r="M53" s="1">
        <v>1</v>
      </c>
      <c r="N53" s="1">
        <f t="shared" si="4"/>
        <v>0.5</v>
      </c>
      <c r="O53" s="1">
        <f t="shared" si="5"/>
        <v>0.25</v>
      </c>
      <c r="P53" s="1">
        <f t="shared" si="6"/>
        <v>0.499863</v>
      </c>
    </row>
    <row r="54" spans="1:16">
      <c r="A54" t="s">
        <v>2</v>
      </c>
      <c r="B54">
        <v>0</v>
      </c>
      <c r="C54">
        <v>0</v>
      </c>
      <c r="D54">
        <v>0.499863</v>
      </c>
      <c r="E54">
        <v>1</v>
      </c>
      <c r="F54">
        <v>4.7999999999999996E-3</v>
      </c>
      <c r="G54">
        <v>0.1</v>
      </c>
      <c r="H54">
        <v>0.1</v>
      </c>
      <c r="I54">
        <v>0.1</v>
      </c>
      <c r="L54" s="1" t="s">
        <v>2</v>
      </c>
      <c r="M54" s="1">
        <v>1</v>
      </c>
      <c r="N54" s="1">
        <f t="shared" si="4"/>
        <v>0.5</v>
      </c>
      <c r="O54" s="1">
        <f t="shared" si="5"/>
        <v>0</v>
      </c>
      <c r="P54" s="1">
        <f t="shared" si="6"/>
        <v>0.499863</v>
      </c>
    </row>
    <row r="55" spans="1:16">
      <c r="A55" t="s">
        <v>3</v>
      </c>
      <c r="B55">
        <v>0.5</v>
      </c>
      <c r="C55">
        <v>0.75</v>
      </c>
      <c r="D55">
        <v>0.499863</v>
      </c>
      <c r="E55">
        <v>1</v>
      </c>
      <c r="F55">
        <v>4.0000000000000001E-3</v>
      </c>
      <c r="G55">
        <v>0.1</v>
      </c>
      <c r="H55">
        <v>0.1</v>
      </c>
      <c r="I55">
        <v>0.1</v>
      </c>
      <c r="L55" s="1" t="s">
        <v>3</v>
      </c>
      <c r="M55" s="1">
        <v>1</v>
      </c>
      <c r="N55" s="1">
        <f t="shared" si="4"/>
        <v>0.75</v>
      </c>
      <c r="O55" s="1">
        <f t="shared" si="5"/>
        <v>0.375</v>
      </c>
      <c r="P55" s="1">
        <f t="shared" si="6"/>
        <v>0.499863</v>
      </c>
    </row>
    <row r="56" spans="1:16">
      <c r="A56" t="s">
        <v>3</v>
      </c>
      <c r="B56">
        <v>0.5</v>
      </c>
      <c r="C56">
        <v>0.25</v>
      </c>
      <c r="D56">
        <v>0.499863</v>
      </c>
      <c r="E56">
        <v>1</v>
      </c>
      <c r="F56">
        <v>4.0000000000000001E-3</v>
      </c>
      <c r="G56">
        <v>0.1</v>
      </c>
      <c r="H56">
        <v>0.1</v>
      </c>
      <c r="I56">
        <v>0.1</v>
      </c>
      <c r="L56" s="1" t="s">
        <v>3</v>
      </c>
      <c r="M56" s="1">
        <v>1</v>
      </c>
      <c r="N56" s="1">
        <f t="shared" si="4"/>
        <v>0.75</v>
      </c>
      <c r="O56" s="1">
        <f t="shared" si="5"/>
        <v>0.125</v>
      </c>
      <c r="P56" s="1">
        <f t="shared" si="6"/>
        <v>0.499863</v>
      </c>
    </row>
    <row r="57" spans="1:16">
      <c r="A57" t="s">
        <v>3</v>
      </c>
      <c r="B57">
        <v>0</v>
      </c>
      <c r="C57">
        <v>0.75</v>
      </c>
      <c r="D57">
        <v>0</v>
      </c>
      <c r="E57">
        <v>1</v>
      </c>
      <c r="F57">
        <v>4.0000000000000001E-3</v>
      </c>
      <c r="G57">
        <v>0.1</v>
      </c>
      <c r="H57">
        <v>0.1</v>
      </c>
      <c r="I57">
        <v>0.1</v>
      </c>
      <c r="L57" s="1" t="s">
        <v>3</v>
      </c>
      <c r="M57" s="1">
        <v>1</v>
      </c>
      <c r="N57" s="1">
        <f t="shared" si="4"/>
        <v>0.5</v>
      </c>
      <c r="O57" s="1">
        <f t="shared" si="5"/>
        <v>0.375</v>
      </c>
      <c r="P57" s="1">
        <f t="shared" si="6"/>
        <v>0</v>
      </c>
    </row>
    <row r="58" spans="1:16">
      <c r="A58" t="s">
        <v>3</v>
      </c>
      <c r="B58">
        <v>0</v>
      </c>
      <c r="C58">
        <v>0.25</v>
      </c>
      <c r="D58">
        <v>0</v>
      </c>
      <c r="E58">
        <v>1</v>
      </c>
      <c r="F58">
        <v>4.0000000000000001E-3</v>
      </c>
      <c r="G58">
        <v>0.1</v>
      </c>
      <c r="H58">
        <v>0.1</v>
      </c>
      <c r="I58">
        <v>0.1</v>
      </c>
      <c r="L58" s="1" t="s">
        <v>3</v>
      </c>
      <c r="M58" s="1">
        <v>1</v>
      </c>
      <c r="N58" s="1">
        <f t="shared" si="4"/>
        <v>0.5</v>
      </c>
      <c r="O58" s="1">
        <f t="shared" si="5"/>
        <v>0.125</v>
      </c>
      <c r="P58" s="1">
        <f t="shared" si="6"/>
        <v>0</v>
      </c>
    </row>
    <row r="60" spans="1:16">
      <c r="A60" s="3" t="s">
        <v>15</v>
      </c>
      <c r="L60" s="1" t="s">
        <v>0</v>
      </c>
      <c r="M60" s="1">
        <v>1</v>
      </c>
      <c r="N60" s="1">
        <f>B31/2</f>
        <v>0.39874999999999999</v>
      </c>
      <c r="O60" s="1">
        <f>C31/2+0.5</f>
        <v>0.98065000000000002</v>
      </c>
      <c r="P60">
        <v>0.83109500000000003</v>
      </c>
    </row>
    <row r="61" spans="1:16">
      <c r="A61" t="s">
        <v>0</v>
      </c>
      <c r="B61">
        <v>0.79749999999999999</v>
      </c>
      <c r="C61">
        <v>0.96130000000000004</v>
      </c>
      <c r="D61">
        <v>0.83109500000000003</v>
      </c>
      <c r="E61">
        <v>1</v>
      </c>
      <c r="F61">
        <v>3.0000000000000001E-3</v>
      </c>
      <c r="G61">
        <v>0.1</v>
      </c>
      <c r="H61">
        <v>0.1</v>
      </c>
      <c r="I61">
        <v>0.1</v>
      </c>
      <c r="L61" s="1" t="s">
        <v>0</v>
      </c>
      <c r="M61" s="1">
        <v>0</v>
      </c>
      <c r="N61" s="1">
        <f t="shared" ref="N61:N87" si="7">B32/2</f>
        <v>0.39874999999999999</v>
      </c>
      <c r="O61" s="1">
        <f t="shared" ref="O61:O87" si="8">C32/2+0.5</f>
        <v>0.98065000000000002</v>
      </c>
      <c r="P61">
        <v>0.69630499999999995</v>
      </c>
    </row>
    <row r="62" spans="1:16">
      <c r="A62" t="s">
        <v>0</v>
      </c>
      <c r="B62">
        <v>0.79749999999999999</v>
      </c>
      <c r="C62">
        <v>0.96130000000000004</v>
      </c>
      <c r="D62">
        <v>0.69630499999999995</v>
      </c>
      <c r="E62">
        <v>0</v>
      </c>
      <c r="F62">
        <v>3.0000000000000001E-3</v>
      </c>
      <c r="G62">
        <v>0.1</v>
      </c>
      <c r="H62">
        <v>0.1</v>
      </c>
      <c r="I62">
        <v>0.1</v>
      </c>
      <c r="L62" s="1" t="s">
        <v>0</v>
      </c>
      <c r="M62" s="1">
        <v>1</v>
      </c>
      <c r="N62" s="1">
        <f t="shared" si="7"/>
        <v>0.39874999999999999</v>
      </c>
      <c r="O62" s="1">
        <f t="shared" si="8"/>
        <v>0.73065000000000002</v>
      </c>
      <c r="P62">
        <v>0.83109500000000003</v>
      </c>
    </row>
    <row r="63" spans="1:16">
      <c r="A63" t="s">
        <v>0</v>
      </c>
      <c r="B63">
        <v>0.79749999999999999</v>
      </c>
      <c r="C63">
        <v>0.46129999999999999</v>
      </c>
      <c r="D63">
        <v>0.83109500000000003</v>
      </c>
      <c r="E63">
        <v>1</v>
      </c>
      <c r="F63">
        <v>3.0000000000000001E-3</v>
      </c>
      <c r="G63">
        <v>0.1</v>
      </c>
      <c r="H63">
        <v>0.1</v>
      </c>
      <c r="I63">
        <v>0.1</v>
      </c>
      <c r="L63" s="1" t="s">
        <v>0</v>
      </c>
      <c r="M63" s="1">
        <v>0</v>
      </c>
      <c r="N63" s="1">
        <f t="shared" si="7"/>
        <v>0.39874999999999999</v>
      </c>
      <c r="O63" s="1">
        <f t="shared" si="8"/>
        <v>0.73065000000000002</v>
      </c>
      <c r="P63">
        <v>0.69630499999999995</v>
      </c>
    </row>
    <row r="64" spans="1:16">
      <c r="A64" t="s">
        <v>0</v>
      </c>
      <c r="B64">
        <v>0.79749999999999999</v>
      </c>
      <c r="C64">
        <v>0.46129999999999999</v>
      </c>
      <c r="D64">
        <v>0.69630499999999995</v>
      </c>
      <c r="E64">
        <v>0</v>
      </c>
      <c r="F64">
        <v>3.0000000000000001E-3</v>
      </c>
      <c r="G64">
        <v>0.1</v>
      </c>
      <c r="H64">
        <v>0.1</v>
      </c>
      <c r="I64">
        <v>0.1</v>
      </c>
      <c r="L64" s="1" t="s">
        <v>0</v>
      </c>
      <c r="M64" s="1">
        <v>1</v>
      </c>
      <c r="N64" s="1">
        <f t="shared" si="7"/>
        <v>0.14874999999999999</v>
      </c>
      <c r="O64" s="1">
        <f t="shared" si="8"/>
        <v>0.98065000000000002</v>
      </c>
      <c r="P64">
        <v>0.33009500000000003</v>
      </c>
    </row>
    <row r="65" spans="1:16">
      <c r="A65" t="s">
        <v>0</v>
      </c>
      <c r="B65">
        <v>0.29749999999999999</v>
      </c>
      <c r="C65">
        <v>0.96130000000000004</v>
      </c>
      <c r="D65">
        <v>0.33009500000000003</v>
      </c>
      <c r="E65">
        <v>1</v>
      </c>
      <c r="F65">
        <v>3.0000000000000001E-3</v>
      </c>
      <c r="G65">
        <v>0.1</v>
      </c>
      <c r="H65">
        <v>0.1</v>
      </c>
      <c r="I65">
        <v>0.1</v>
      </c>
      <c r="L65" s="1" t="s">
        <v>0</v>
      </c>
      <c r="M65" s="1">
        <v>0</v>
      </c>
      <c r="N65" s="1">
        <f t="shared" si="7"/>
        <v>0.14874999999999999</v>
      </c>
      <c r="O65" s="1">
        <f t="shared" si="8"/>
        <v>0.98065000000000002</v>
      </c>
      <c r="P65">
        <v>0.19530500000000001</v>
      </c>
    </row>
    <row r="66" spans="1:16">
      <c r="A66" t="s">
        <v>0</v>
      </c>
      <c r="B66">
        <v>0.29749999999999999</v>
      </c>
      <c r="C66">
        <v>0.96130000000000004</v>
      </c>
      <c r="D66">
        <v>0.19530500000000001</v>
      </c>
      <c r="E66">
        <v>0</v>
      </c>
      <c r="F66">
        <v>3.0000000000000001E-3</v>
      </c>
      <c r="G66">
        <v>0.1</v>
      </c>
      <c r="H66">
        <v>0.1</v>
      </c>
      <c r="I66">
        <v>0.1</v>
      </c>
      <c r="L66" s="1" t="s">
        <v>0</v>
      </c>
      <c r="M66" s="1">
        <v>1</v>
      </c>
      <c r="N66" s="1">
        <f t="shared" si="7"/>
        <v>0.14874999999999999</v>
      </c>
      <c r="O66" s="1">
        <f t="shared" si="8"/>
        <v>0.73065000000000002</v>
      </c>
      <c r="P66">
        <v>0.33009500000000003</v>
      </c>
    </row>
    <row r="67" spans="1:16">
      <c r="A67" t="s">
        <v>0</v>
      </c>
      <c r="B67">
        <v>0.29749999999999999</v>
      </c>
      <c r="C67">
        <v>0.46129999999999999</v>
      </c>
      <c r="D67">
        <v>0.33009500000000003</v>
      </c>
      <c r="E67">
        <v>1</v>
      </c>
      <c r="F67">
        <v>3.0000000000000001E-3</v>
      </c>
      <c r="G67">
        <v>0.1</v>
      </c>
      <c r="H67">
        <v>0.1</v>
      </c>
      <c r="I67">
        <v>0.1</v>
      </c>
      <c r="L67" s="1" t="s">
        <v>0</v>
      </c>
      <c r="M67" s="1">
        <v>0</v>
      </c>
      <c r="N67" s="1">
        <f t="shared" si="7"/>
        <v>0.14874999999999999</v>
      </c>
      <c r="O67" s="1">
        <f t="shared" si="8"/>
        <v>0.73065000000000002</v>
      </c>
      <c r="P67">
        <v>0.19530500000000001</v>
      </c>
    </row>
    <row r="68" spans="1:16">
      <c r="A68" t="s">
        <v>0</v>
      </c>
      <c r="B68">
        <v>0.29749999999999999</v>
      </c>
      <c r="C68">
        <v>0.46129999999999999</v>
      </c>
      <c r="D68">
        <v>0.19530500000000001</v>
      </c>
      <c r="E68">
        <v>0</v>
      </c>
      <c r="F68">
        <v>3.0000000000000001E-3</v>
      </c>
      <c r="G68">
        <v>0.1</v>
      </c>
      <c r="H68">
        <v>0.1</v>
      </c>
      <c r="I68">
        <v>0.1</v>
      </c>
      <c r="L68" s="1" t="s">
        <v>1</v>
      </c>
      <c r="M68" s="1">
        <v>1</v>
      </c>
      <c r="N68" s="1">
        <f t="shared" si="7"/>
        <v>0.40561849999999999</v>
      </c>
      <c r="O68" s="1">
        <f t="shared" si="8"/>
        <v>0.85732249999999999</v>
      </c>
      <c r="P68">
        <v>0.27280100000000002</v>
      </c>
    </row>
    <row r="69" spans="1:16">
      <c r="A69" t="s">
        <v>1</v>
      </c>
      <c r="B69">
        <v>0.76530900000000002</v>
      </c>
      <c r="C69">
        <v>0.74116099999999996</v>
      </c>
      <c r="D69">
        <v>0.27280100000000002</v>
      </c>
      <c r="E69">
        <v>1</v>
      </c>
      <c r="F69">
        <v>1.2999999999999999E-2</v>
      </c>
      <c r="G69">
        <v>0.1</v>
      </c>
      <c r="H69">
        <v>0.1</v>
      </c>
      <c r="I69">
        <v>0.1</v>
      </c>
      <c r="L69" s="1" t="s">
        <v>1</v>
      </c>
      <c r="M69" s="1">
        <v>1</v>
      </c>
      <c r="N69" s="1">
        <f t="shared" si="7"/>
        <v>0.40561849999999999</v>
      </c>
      <c r="O69" s="1">
        <f t="shared" si="8"/>
        <v>0.60732249999999999</v>
      </c>
      <c r="P69">
        <v>0.72692500000000004</v>
      </c>
    </row>
    <row r="70" spans="1:16">
      <c r="A70" t="s">
        <v>1</v>
      </c>
      <c r="B70">
        <v>0.76530900000000002</v>
      </c>
      <c r="C70">
        <v>0.24116099999999999</v>
      </c>
      <c r="D70">
        <v>0.72692500000000004</v>
      </c>
      <c r="E70">
        <v>1</v>
      </c>
      <c r="F70">
        <v>1.2999999999999999E-2</v>
      </c>
      <c r="G70">
        <v>0.1</v>
      </c>
      <c r="H70">
        <v>0.1</v>
      </c>
      <c r="I70">
        <v>0.1</v>
      </c>
      <c r="L70" s="1" t="s">
        <v>1</v>
      </c>
      <c r="M70" s="1">
        <v>1</v>
      </c>
      <c r="N70" s="1">
        <f t="shared" si="7"/>
        <v>0.34438150000000001</v>
      </c>
      <c r="O70" s="1">
        <f t="shared" si="8"/>
        <v>0.89267750000000001</v>
      </c>
      <c r="P70">
        <v>0.77293800000000001</v>
      </c>
    </row>
    <row r="71" spans="1:16">
      <c r="A71" t="s">
        <v>1</v>
      </c>
      <c r="B71">
        <v>0.73469099999999998</v>
      </c>
      <c r="C71">
        <v>0.75883900000000004</v>
      </c>
      <c r="D71">
        <v>0.77293800000000001</v>
      </c>
      <c r="E71">
        <v>1</v>
      </c>
      <c r="F71">
        <v>1.2999999999999999E-2</v>
      </c>
      <c r="G71">
        <v>0.1</v>
      </c>
      <c r="H71">
        <v>0.1</v>
      </c>
      <c r="I71">
        <v>0.1</v>
      </c>
      <c r="L71" s="1" t="s">
        <v>1</v>
      </c>
      <c r="M71" s="1">
        <v>1</v>
      </c>
      <c r="N71" s="1">
        <f t="shared" si="7"/>
        <v>0.34438150000000001</v>
      </c>
      <c r="O71" s="1">
        <f t="shared" si="8"/>
        <v>0.64267750000000001</v>
      </c>
      <c r="P71">
        <v>0.22678799999999999</v>
      </c>
    </row>
    <row r="72" spans="1:16">
      <c r="A72" t="s">
        <v>1</v>
      </c>
      <c r="B72">
        <v>0.73469099999999998</v>
      </c>
      <c r="C72">
        <v>0.25883899999999999</v>
      </c>
      <c r="D72">
        <v>0.22678799999999999</v>
      </c>
      <c r="E72">
        <v>1</v>
      </c>
      <c r="F72">
        <v>1.2999999999999999E-2</v>
      </c>
      <c r="G72">
        <v>0.1</v>
      </c>
      <c r="H72">
        <v>0.1</v>
      </c>
      <c r="I72">
        <v>0.1</v>
      </c>
      <c r="L72" s="1" t="s">
        <v>1</v>
      </c>
      <c r="M72" s="1">
        <v>1</v>
      </c>
      <c r="N72" s="1">
        <f t="shared" si="7"/>
        <v>0.25</v>
      </c>
      <c r="O72" s="1">
        <f t="shared" si="8"/>
        <v>0.75</v>
      </c>
      <c r="P72">
        <v>0.545875</v>
      </c>
    </row>
    <row r="73" spans="1:16">
      <c r="A73" t="s">
        <v>1</v>
      </c>
      <c r="B73">
        <v>0.5</v>
      </c>
      <c r="C73">
        <v>0.5</v>
      </c>
      <c r="D73">
        <v>0.545875</v>
      </c>
      <c r="E73">
        <v>1</v>
      </c>
      <c r="F73">
        <v>1.2999999999999999E-2</v>
      </c>
      <c r="G73">
        <v>0.1</v>
      </c>
      <c r="H73">
        <v>0.1</v>
      </c>
      <c r="I73">
        <v>0.1</v>
      </c>
      <c r="L73" s="1" t="s">
        <v>1</v>
      </c>
      <c r="M73" s="1">
        <v>1</v>
      </c>
      <c r="N73" s="1">
        <f t="shared" si="7"/>
        <v>0.25</v>
      </c>
      <c r="O73" s="1">
        <f t="shared" si="8"/>
        <v>0.5</v>
      </c>
      <c r="P73">
        <v>0.45384999999999998</v>
      </c>
    </row>
    <row r="74" spans="1:16">
      <c r="A74" t="s">
        <v>1</v>
      </c>
      <c r="B74">
        <v>0.5</v>
      </c>
      <c r="C74">
        <v>0</v>
      </c>
      <c r="D74">
        <v>0.45384999999999998</v>
      </c>
      <c r="E74">
        <v>1</v>
      </c>
      <c r="F74">
        <v>1.2999999999999999E-2</v>
      </c>
      <c r="G74">
        <v>0.1</v>
      </c>
      <c r="H74">
        <v>0.1</v>
      </c>
      <c r="I74">
        <v>0.1</v>
      </c>
      <c r="L74" s="1" t="s">
        <v>1</v>
      </c>
      <c r="M74" s="1">
        <v>1</v>
      </c>
      <c r="N74" s="1">
        <f t="shared" si="7"/>
        <v>0.15561849999999999</v>
      </c>
      <c r="O74" s="1">
        <f t="shared" si="8"/>
        <v>0.85732249999999999</v>
      </c>
      <c r="P74">
        <v>0.22678799999999999</v>
      </c>
    </row>
    <row r="75" spans="1:16">
      <c r="A75" t="s">
        <v>1</v>
      </c>
      <c r="B75">
        <v>0.26530900000000002</v>
      </c>
      <c r="C75">
        <v>0.74116099999999996</v>
      </c>
      <c r="D75">
        <v>0.22678799999999999</v>
      </c>
      <c r="E75">
        <v>1</v>
      </c>
      <c r="F75">
        <v>1.2999999999999999E-2</v>
      </c>
      <c r="G75">
        <v>0.1</v>
      </c>
      <c r="H75">
        <v>0.1</v>
      </c>
      <c r="I75">
        <v>0.1</v>
      </c>
      <c r="L75" s="1" t="s">
        <v>1</v>
      </c>
      <c r="M75" s="1">
        <v>1</v>
      </c>
      <c r="N75" s="1">
        <f t="shared" si="7"/>
        <v>0.15561849999999999</v>
      </c>
      <c r="O75" s="1">
        <f t="shared" si="8"/>
        <v>0.60732249999999999</v>
      </c>
      <c r="P75">
        <v>0.77293800000000001</v>
      </c>
    </row>
    <row r="76" spans="1:16">
      <c r="A76" t="s">
        <v>1</v>
      </c>
      <c r="B76">
        <v>0.26530900000000002</v>
      </c>
      <c r="C76">
        <v>0.24116099999999999</v>
      </c>
      <c r="D76">
        <v>0.77293800000000001</v>
      </c>
      <c r="E76">
        <v>1</v>
      </c>
      <c r="F76">
        <v>1.2999999999999999E-2</v>
      </c>
      <c r="G76">
        <v>0.1</v>
      </c>
      <c r="H76">
        <v>0.1</v>
      </c>
      <c r="I76">
        <v>0.1</v>
      </c>
      <c r="L76" s="1" t="s">
        <v>1</v>
      </c>
      <c r="M76" s="1">
        <v>1</v>
      </c>
      <c r="N76" s="1">
        <f t="shared" si="7"/>
        <v>9.4381499999999993E-2</v>
      </c>
      <c r="O76" s="1">
        <f t="shared" si="8"/>
        <v>0.89267750000000001</v>
      </c>
      <c r="P76">
        <v>0.72692500000000004</v>
      </c>
    </row>
    <row r="77" spans="1:16">
      <c r="A77" t="s">
        <v>1</v>
      </c>
      <c r="B77">
        <v>0.23469100000000001</v>
      </c>
      <c r="C77">
        <v>0.75883900000000004</v>
      </c>
      <c r="D77">
        <v>0.72692500000000004</v>
      </c>
      <c r="E77">
        <v>1</v>
      </c>
      <c r="F77">
        <v>1.2999999999999999E-2</v>
      </c>
      <c r="G77">
        <v>0.1</v>
      </c>
      <c r="H77">
        <v>0.1</v>
      </c>
      <c r="I77">
        <v>0.1</v>
      </c>
      <c r="L77" s="1" t="s">
        <v>1</v>
      </c>
      <c r="M77" s="1">
        <v>1</v>
      </c>
      <c r="N77" s="1">
        <f t="shared" si="7"/>
        <v>9.4381499999999993E-2</v>
      </c>
      <c r="O77" s="1">
        <f t="shared" si="8"/>
        <v>0.64267750000000001</v>
      </c>
      <c r="P77">
        <v>0.27279999999999999</v>
      </c>
    </row>
    <row r="78" spans="1:16">
      <c r="A78" t="s">
        <v>1</v>
      </c>
      <c r="B78">
        <v>0.23469100000000001</v>
      </c>
      <c r="C78">
        <v>0.25883899999999999</v>
      </c>
      <c r="D78">
        <v>0.27279999999999999</v>
      </c>
      <c r="E78">
        <v>1</v>
      </c>
      <c r="F78">
        <v>1.2999999999999999E-2</v>
      </c>
      <c r="G78">
        <v>0.1</v>
      </c>
      <c r="H78">
        <v>0.1</v>
      </c>
      <c r="I78">
        <v>0.1</v>
      </c>
      <c r="L78" s="1" t="s">
        <v>1</v>
      </c>
      <c r="M78" s="1">
        <v>1</v>
      </c>
      <c r="N78" s="1">
        <f t="shared" si="7"/>
        <v>0</v>
      </c>
      <c r="O78" s="1">
        <f t="shared" si="8"/>
        <v>0.75</v>
      </c>
      <c r="P78">
        <v>0.95398700000000003</v>
      </c>
    </row>
    <row r="79" spans="1:16">
      <c r="A79" t="s">
        <v>1</v>
      </c>
      <c r="B79">
        <v>0</v>
      </c>
      <c r="C79">
        <v>0.5</v>
      </c>
      <c r="D79">
        <v>0.95398700000000003</v>
      </c>
      <c r="E79">
        <v>1</v>
      </c>
      <c r="F79">
        <v>1.2999999999999999E-2</v>
      </c>
      <c r="G79">
        <v>0.1</v>
      </c>
      <c r="H79">
        <v>0.1</v>
      </c>
      <c r="I79">
        <v>0.1</v>
      </c>
      <c r="L79" s="1" t="s">
        <v>1</v>
      </c>
      <c r="M79" s="1">
        <v>1</v>
      </c>
      <c r="N79" s="1">
        <f t="shared" si="7"/>
        <v>0</v>
      </c>
      <c r="O79" s="1">
        <f t="shared" si="8"/>
        <v>0.5</v>
      </c>
      <c r="P79">
        <v>4.5738000000000001E-2</v>
      </c>
    </row>
    <row r="80" spans="1:16">
      <c r="A80" t="s">
        <v>1</v>
      </c>
      <c r="B80">
        <v>0</v>
      </c>
      <c r="C80">
        <v>0</v>
      </c>
      <c r="D80">
        <v>4.5738000000000001E-2</v>
      </c>
      <c r="E80">
        <v>1</v>
      </c>
      <c r="F80">
        <v>1.2999999999999999E-2</v>
      </c>
      <c r="G80">
        <v>0.1</v>
      </c>
      <c r="H80">
        <v>0.1</v>
      </c>
      <c r="I80">
        <v>0.1</v>
      </c>
      <c r="L80" s="1" t="s">
        <v>2</v>
      </c>
      <c r="M80" s="1">
        <v>1</v>
      </c>
      <c r="N80" s="1">
        <f t="shared" si="7"/>
        <v>0.25</v>
      </c>
      <c r="O80" s="1">
        <f t="shared" si="8"/>
        <v>0.75</v>
      </c>
      <c r="P80">
        <v>0</v>
      </c>
    </row>
    <row r="81" spans="1:16">
      <c r="A81" t="s">
        <v>2</v>
      </c>
      <c r="B81">
        <v>0.5</v>
      </c>
      <c r="C81">
        <v>0.5</v>
      </c>
      <c r="D81">
        <v>0</v>
      </c>
      <c r="E81">
        <v>1</v>
      </c>
      <c r="F81">
        <v>4.7999999999999996E-3</v>
      </c>
      <c r="G81">
        <v>0.1</v>
      </c>
      <c r="H81">
        <v>0.1</v>
      </c>
      <c r="I81">
        <v>0.1</v>
      </c>
      <c r="L81" s="1" t="s">
        <v>2</v>
      </c>
      <c r="M81" s="1">
        <v>1</v>
      </c>
      <c r="N81" s="1">
        <f t="shared" si="7"/>
        <v>0.25</v>
      </c>
      <c r="O81" s="1">
        <f t="shared" si="8"/>
        <v>0.5</v>
      </c>
      <c r="P81">
        <v>0</v>
      </c>
    </row>
    <row r="82" spans="1:16">
      <c r="A82" t="s">
        <v>2</v>
      </c>
      <c r="B82">
        <v>0.5</v>
      </c>
      <c r="C82">
        <v>0</v>
      </c>
      <c r="D82">
        <v>0</v>
      </c>
      <c r="E82">
        <v>1</v>
      </c>
      <c r="F82">
        <v>4.7999999999999996E-3</v>
      </c>
      <c r="G82">
        <v>0.1</v>
      </c>
      <c r="H82">
        <v>0.1</v>
      </c>
      <c r="I82">
        <v>0.1</v>
      </c>
      <c r="L82" s="1" t="s">
        <v>2</v>
      </c>
      <c r="M82" s="1">
        <v>1</v>
      </c>
      <c r="N82" s="1">
        <f t="shared" si="7"/>
        <v>0</v>
      </c>
      <c r="O82" s="1">
        <f t="shared" si="8"/>
        <v>0.75</v>
      </c>
      <c r="P82">
        <v>0.499863</v>
      </c>
    </row>
    <row r="83" spans="1:16">
      <c r="A83" t="s">
        <v>2</v>
      </c>
      <c r="B83">
        <v>0</v>
      </c>
      <c r="C83">
        <v>0.5</v>
      </c>
      <c r="D83">
        <v>0.499863</v>
      </c>
      <c r="E83">
        <v>1</v>
      </c>
      <c r="F83">
        <v>4.7999999999999996E-3</v>
      </c>
      <c r="G83">
        <v>0.1</v>
      </c>
      <c r="H83">
        <v>0.1</v>
      </c>
      <c r="I83">
        <v>0.1</v>
      </c>
      <c r="L83" s="1" t="s">
        <v>2</v>
      </c>
      <c r="M83" s="1">
        <v>1</v>
      </c>
      <c r="N83" s="1">
        <f t="shared" si="7"/>
        <v>0</v>
      </c>
      <c r="O83" s="1">
        <f t="shared" si="8"/>
        <v>0.5</v>
      </c>
      <c r="P83">
        <v>0.499863</v>
      </c>
    </row>
    <row r="84" spans="1:16">
      <c r="A84" t="s">
        <v>2</v>
      </c>
      <c r="B84">
        <v>0</v>
      </c>
      <c r="C84">
        <v>0</v>
      </c>
      <c r="D84">
        <v>0.499863</v>
      </c>
      <c r="E84">
        <v>1</v>
      </c>
      <c r="F84">
        <v>4.7999999999999996E-3</v>
      </c>
      <c r="G84">
        <v>0.1</v>
      </c>
      <c r="H84">
        <v>0.1</v>
      </c>
      <c r="I84">
        <v>0.1</v>
      </c>
      <c r="L84" s="1" t="s">
        <v>3</v>
      </c>
      <c r="M84" s="1">
        <v>1</v>
      </c>
      <c r="N84" s="1">
        <f t="shared" si="7"/>
        <v>0.25</v>
      </c>
      <c r="O84" s="1">
        <f t="shared" si="8"/>
        <v>0.875</v>
      </c>
      <c r="P84">
        <v>0.499863</v>
      </c>
    </row>
    <row r="85" spans="1:16">
      <c r="A85" t="s">
        <v>3</v>
      </c>
      <c r="B85">
        <v>0.5</v>
      </c>
      <c r="C85">
        <v>0.75</v>
      </c>
      <c r="D85">
        <v>0.499863</v>
      </c>
      <c r="E85">
        <v>1</v>
      </c>
      <c r="F85">
        <v>4.0000000000000001E-3</v>
      </c>
      <c r="G85">
        <v>0.1</v>
      </c>
      <c r="H85">
        <v>0.1</v>
      </c>
      <c r="I85">
        <v>0.1</v>
      </c>
      <c r="L85" s="1" t="s">
        <v>3</v>
      </c>
      <c r="M85" s="1">
        <v>1</v>
      </c>
      <c r="N85" s="1">
        <f t="shared" si="7"/>
        <v>0.25</v>
      </c>
      <c r="O85" s="1">
        <f t="shared" si="8"/>
        <v>0.625</v>
      </c>
      <c r="P85">
        <v>0.499863</v>
      </c>
    </row>
    <row r="86" spans="1:16">
      <c r="A86" t="s">
        <v>3</v>
      </c>
      <c r="B86">
        <v>0.5</v>
      </c>
      <c r="C86">
        <v>0.25</v>
      </c>
      <c r="D86">
        <v>0.499863</v>
      </c>
      <c r="E86">
        <v>1</v>
      </c>
      <c r="F86">
        <v>4.0000000000000001E-3</v>
      </c>
      <c r="G86">
        <v>0.1</v>
      </c>
      <c r="H86">
        <v>0.1</v>
      </c>
      <c r="I86">
        <v>0.1</v>
      </c>
      <c r="L86" s="1" t="s">
        <v>3</v>
      </c>
      <c r="M86" s="1">
        <v>1</v>
      </c>
      <c r="N86" s="1">
        <f t="shared" si="7"/>
        <v>0</v>
      </c>
      <c r="O86" s="1">
        <f t="shared" si="8"/>
        <v>0.875</v>
      </c>
      <c r="P86">
        <v>0</v>
      </c>
    </row>
    <row r="87" spans="1:16">
      <c r="A87" t="s">
        <v>3</v>
      </c>
      <c r="B87">
        <v>0</v>
      </c>
      <c r="C87">
        <v>0.75</v>
      </c>
      <c r="D87">
        <v>0</v>
      </c>
      <c r="E87">
        <v>1</v>
      </c>
      <c r="F87">
        <v>4.0000000000000001E-3</v>
      </c>
      <c r="G87">
        <v>0.1</v>
      </c>
      <c r="H87">
        <v>0.1</v>
      </c>
      <c r="I87">
        <v>0.1</v>
      </c>
      <c r="L87" s="1" t="s">
        <v>3</v>
      </c>
      <c r="M87" s="1">
        <v>1</v>
      </c>
      <c r="N87" s="1">
        <f t="shared" si="7"/>
        <v>0</v>
      </c>
      <c r="O87" s="1">
        <f t="shared" si="8"/>
        <v>0.625</v>
      </c>
      <c r="P87">
        <v>0</v>
      </c>
    </row>
    <row r="88" spans="1:16">
      <c r="A88" t="s">
        <v>3</v>
      </c>
      <c r="B88">
        <v>0</v>
      </c>
      <c r="C88">
        <v>0.25</v>
      </c>
      <c r="D88">
        <v>0</v>
      </c>
      <c r="E88">
        <v>1</v>
      </c>
      <c r="F88">
        <v>4.0000000000000001E-3</v>
      </c>
      <c r="G88">
        <v>0.1</v>
      </c>
      <c r="H88">
        <v>0.1</v>
      </c>
      <c r="I88">
        <v>0.1</v>
      </c>
    </row>
    <row r="89" spans="1:16">
      <c r="L89" s="1" t="s">
        <v>0</v>
      </c>
      <c r="M89" s="1">
        <v>1</v>
      </c>
      <c r="N89" s="1">
        <f>B61/2+0.5</f>
        <v>0.89874999999999994</v>
      </c>
      <c r="O89" s="1">
        <f>C61/2+0.5</f>
        <v>0.98065000000000002</v>
      </c>
      <c r="P89">
        <v>0.83109500000000003</v>
      </c>
    </row>
    <row r="90" spans="1:16">
      <c r="L90" s="1" t="s">
        <v>0</v>
      </c>
      <c r="M90" s="1">
        <v>0</v>
      </c>
      <c r="N90" s="1">
        <f t="shared" ref="N90:O90" si="9">B62/2+0.5</f>
        <v>0.89874999999999994</v>
      </c>
      <c r="O90" s="1">
        <f t="shared" si="9"/>
        <v>0.98065000000000002</v>
      </c>
      <c r="P90">
        <v>0.69630499999999995</v>
      </c>
    </row>
    <row r="91" spans="1:16">
      <c r="L91" s="1" t="s">
        <v>0</v>
      </c>
      <c r="M91" s="1">
        <v>1</v>
      </c>
      <c r="N91" s="1">
        <f t="shared" ref="N91:O91" si="10">B63/2+0.5</f>
        <v>0.89874999999999994</v>
      </c>
      <c r="O91" s="1">
        <f t="shared" si="10"/>
        <v>0.73065000000000002</v>
      </c>
      <c r="P91">
        <v>0.83109500000000003</v>
      </c>
    </row>
    <row r="92" spans="1:16">
      <c r="L92" s="1" t="s">
        <v>0</v>
      </c>
      <c r="M92" s="1">
        <v>0</v>
      </c>
      <c r="N92" s="1">
        <f t="shared" ref="N92:O92" si="11">B64/2+0.5</f>
        <v>0.89874999999999994</v>
      </c>
      <c r="O92" s="1">
        <f t="shared" si="11"/>
        <v>0.73065000000000002</v>
      </c>
      <c r="P92">
        <v>0.69630499999999995</v>
      </c>
    </row>
    <row r="93" spans="1:16">
      <c r="L93" s="1" t="s">
        <v>0</v>
      </c>
      <c r="M93" s="1">
        <v>1</v>
      </c>
      <c r="N93" s="1">
        <f t="shared" ref="N93:O93" si="12">B65/2+0.5</f>
        <v>0.64874999999999994</v>
      </c>
      <c r="O93" s="1">
        <f t="shared" si="12"/>
        <v>0.98065000000000002</v>
      </c>
      <c r="P93">
        <v>0.33009500000000003</v>
      </c>
    </row>
    <row r="94" spans="1:16">
      <c r="L94" s="1" t="s">
        <v>0</v>
      </c>
      <c r="M94" s="1">
        <v>0</v>
      </c>
      <c r="N94" s="1">
        <f t="shared" ref="N94:O94" si="13">B66/2+0.5</f>
        <v>0.64874999999999994</v>
      </c>
      <c r="O94" s="1">
        <f t="shared" si="13"/>
        <v>0.98065000000000002</v>
      </c>
      <c r="P94">
        <v>0.19530500000000001</v>
      </c>
    </row>
    <row r="95" spans="1:16">
      <c r="L95" s="1" t="s">
        <v>0</v>
      </c>
      <c r="M95" s="1">
        <v>1</v>
      </c>
      <c r="N95" s="1">
        <f t="shared" ref="N95:O95" si="14">B67/2+0.5</f>
        <v>0.64874999999999994</v>
      </c>
      <c r="O95" s="1">
        <f t="shared" si="14"/>
        <v>0.73065000000000002</v>
      </c>
      <c r="P95">
        <v>0.33009500000000003</v>
      </c>
    </row>
    <row r="96" spans="1:16">
      <c r="L96" s="1" t="s">
        <v>0</v>
      </c>
      <c r="M96" s="1">
        <v>0</v>
      </c>
      <c r="N96" s="1">
        <f t="shared" ref="N96:O96" si="15">B68/2+0.5</f>
        <v>0.64874999999999994</v>
      </c>
      <c r="O96" s="1">
        <f t="shared" si="15"/>
        <v>0.73065000000000002</v>
      </c>
      <c r="P96">
        <v>0.19530500000000001</v>
      </c>
    </row>
    <row r="97" spans="12:16">
      <c r="L97" s="1" t="s">
        <v>1</v>
      </c>
      <c r="M97" s="1">
        <v>1</v>
      </c>
      <c r="N97" s="1">
        <f t="shared" ref="N97:O97" si="16">B69/2+0.5</f>
        <v>0.88265450000000001</v>
      </c>
      <c r="O97" s="1">
        <f t="shared" si="16"/>
        <v>0.87058049999999998</v>
      </c>
      <c r="P97">
        <v>0.27280100000000002</v>
      </c>
    </row>
    <row r="98" spans="12:16">
      <c r="L98" s="1" t="s">
        <v>1</v>
      </c>
      <c r="M98" s="1">
        <v>1</v>
      </c>
      <c r="N98" s="1">
        <f t="shared" ref="N98:O98" si="17">B70/2+0.5</f>
        <v>0.88265450000000001</v>
      </c>
      <c r="O98" s="1">
        <f t="shared" si="17"/>
        <v>0.62058049999999998</v>
      </c>
      <c r="P98">
        <v>0.72692500000000004</v>
      </c>
    </row>
    <row r="99" spans="12:16">
      <c r="L99" s="1" t="s">
        <v>1</v>
      </c>
      <c r="M99" s="1">
        <v>1</v>
      </c>
      <c r="N99" s="1">
        <f t="shared" ref="N99:O99" si="18">B71/2+0.5</f>
        <v>0.86734549999999999</v>
      </c>
      <c r="O99" s="1">
        <f t="shared" si="18"/>
        <v>0.87941950000000002</v>
      </c>
      <c r="P99">
        <v>0.77293800000000001</v>
      </c>
    </row>
    <row r="100" spans="12:16">
      <c r="L100" s="1" t="s">
        <v>1</v>
      </c>
      <c r="M100" s="1">
        <v>1</v>
      </c>
      <c r="N100" s="1">
        <f t="shared" ref="N100:O100" si="19">B72/2+0.5</f>
        <v>0.86734549999999999</v>
      </c>
      <c r="O100" s="1">
        <f t="shared" si="19"/>
        <v>0.62941950000000002</v>
      </c>
      <c r="P100">
        <v>0.22678799999999999</v>
      </c>
    </row>
    <row r="101" spans="12:16">
      <c r="L101" s="1" t="s">
        <v>1</v>
      </c>
      <c r="M101" s="1">
        <v>1</v>
      </c>
      <c r="N101" s="1">
        <f t="shared" ref="N101:O101" si="20">B73/2+0.5</f>
        <v>0.75</v>
      </c>
      <c r="O101" s="1">
        <f t="shared" si="20"/>
        <v>0.75</v>
      </c>
      <c r="P101">
        <v>0.545875</v>
      </c>
    </row>
    <row r="102" spans="12:16">
      <c r="L102" s="1" t="s">
        <v>1</v>
      </c>
      <c r="M102" s="1">
        <v>1</v>
      </c>
      <c r="N102" s="1">
        <f t="shared" ref="N102:O102" si="21">B74/2+0.5</f>
        <v>0.75</v>
      </c>
      <c r="O102" s="1">
        <f t="shared" si="21"/>
        <v>0.5</v>
      </c>
      <c r="P102">
        <v>0.45384999999999998</v>
      </c>
    </row>
    <row r="103" spans="12:16">
      <c r="L103" s="1" t="s">
        <v>1</v>
      </c>
      <c r="M103" s="1">
        <v>1</v>
      </c>
      <c r="N103" s="1">
        <f t="shared" ref="N103:O103" si="22">B75/2+0.5</f>
        <v>0.63265450000000001</v>
      </c>
      <c r="O103" s="1">
        <f t="shared" si="22"/>
        <v>0.87058049999999998</v>
      </c>
      <c r="P103">
        <v>0.22678799999999999</v>
      </c>
    </row>
    <row r="104" spans="12:16">
      <c r="L104" s="1" t="s">
        <v>1</v>
      </c>
      <c r="M104" s="1">
        <v>1</v>
      </c>
      <c r="N104" s="1">
        <f t="shared" ref="N104:O104" si="23">B76/2+0.5</f>
        <v>0.63265450000000001</v>
      </c>
      <c r="O104" s="1">
        <f t="shared" si="23"/>
        <v>0.62058049999999998</v>
      </c>
      <c r="P104">
        <v>0.77293800000000001</v>
      </c>
    </row>
    <row r="105" spans="12:16">
      <c r="L105" s="1" t="s">
        <v>1</v>
      </c>
      <c r="M105" s="1">
        <v>1</v>
      </c>
      <c r="N105" s="1">
        <f t="shared" ref="N105:O105" si="24">B77/2+0.5</f>
        <v>0.61734549999999999</v>
      </c>
      <c r="O105" s="1">
        <f t="shared" si="24"/>
        <v>0.87941950000000002</v>
      </c>
      <c r="P105">
        <v>0.72692500000000004</v>
      </c>
    </row>
    <row r="106" spans="12:16">
      <c r="L106" s="1" t="s">
        <v>1</v>
      </c>
      <c r="M106" s="1">
        <v>1</v>
      </c>
      <c r="N106" s="1">
        <f t="shared" ref="N106:O106" si="25">B78/2+0.5</f>
        <v>0.61734549999999999</v>
      </c>
      <c r="O106" s="1">
        <f t="shared" si="25"/>
        <v>0.62941950000000002</v>
      </c>
      <c r="P106">
        <v>0.27279999999999999</v>
      </c>
    </row>
    <row r="107" spans="12:16">
      <c r="L107" s="1" t="s">
        <v>1</v>
      </c>
      <c r="M107" s="1">
        <v>1</v>
      </c>
      <c r="N107" s="1">
        <f t="shared" ref="N107:O107" si="26">B79/2+0.5</f>
        <v>0.5</v>
      </c>
      <c r="O107" s="1">
        <f t="shared" si="26"/>
        <v>0.75</v>
      </c>
      <c r="P107">
        <v>0.95398700000000003</v>
      </c>
    </row>
    <row r="108" spans="12:16">
      <c r="L108" s="1" t="s">
        <v>1</v>
      </c>
      <c r="M108" s="1">
        <v>1</v>
      </c>
      <c r="N108" s="1">
        <f t="shared" ref="N108:O108" si="27">B80/2+0.5</f>
        <v>0.5</v>
      </c>
      <c r="O108" s="1">
        <f t="shared" si="27"/>
        <v>0.5</v>
      </c>
      <c r="P108">
        <v>4.5738000000000001E-2</v>
      </c>
    </row>
    <row r="109" spans="12:16">
      <c r="L109" s="1" t="s">
        <v>2</v>
      </c>
      <c r="M109" s="1">
        <v>1</v>
      </c>
      <c r="N109" s="1">
        <f t="shared" ref="N109:O109" si="28">B81/2+0.5</f>
        <v>0.75</v>
      </c>
      <c r="O109" s="1">
        <f t="shared" si="28"/>
        <v>0.75</v>
      </c>
      <c r="P109">
        <v>0</v>
      </c>
    </row>
    <row r="110" spans="12:16">
      <c r="L110" s="1" t="s">
        <v>2</v>
      </c>
      <c r="M110" s="1">
        <v>1</v>
      </c>
      <c r="N110" s="1">
        <f t="shared" ref="N110:O110" si="29">B82/2+0.5</f>
        <v>0.75</v>
      </c>
      <c r="O110" s="1">
        <f t="shared" si="29"/>
        <v>0.5</v>
      </c>
      <c r="P110">
        <v>0</v>
      </c>
    </row>
    <row r="111" spans="12:16">
      <c r="L111" s="1" t="s">
        <v>2</v>
      </c>
      <c r="M111" s="1">
        <v>1</v>
      </c>
      <c r="N111" s="1">
        <f t="shared" ref="N111:O111" si="30">B83/2+0.5</f>
        <v>0.5</v>
      </c>
      <c r="O111" s="1">
        <f t="shared" si="30"/>
        <v>0.75</v>
      </c>
      <c r="P111">
        <v>0.499863</v>
      </c>
    </row>
    <row r="112" spans="12:16">
      <c r="L112" s="1" t="s">
        <v>2</v>
      </c>
      <c r="M112" s="1">
        <v>1</v>
      </c>
      <c r="N112" s="1">
        <f t="shared" ref="N112:O112" si="31">B84/2+0.5</f>
        <v>0.5</v>
      </c>
      <c r="O112" s="1">
        <f t="shared" si="31"/>
        <v>0.5</v>
      </c>
      <c r="P112">
        <v>0.499863</v>
      </c>
    </row>
    <row r="113" spans="12:16">
      <c r="L113" s="1" t="s">
        <v>3</v>
      </c>
      <c r="M113" s="1">
        <v>1</v>
      </c>
      <c r="N113" s="1">
        <f t="shared" ref="N113:O113" si="32">B85/2+0.5</f>
        <v>0.75</v>
      </c>
      <c r="O113" s="1">
        <f t="shared" si="32"/>
        <v>0.875</v>
      </c>
      <c r="P113">
        <v>0.499863</v>
      </c>
    </row>
    <row r="114" spans="12:16">
      <c r="L114" s="1" t="s">
        <v>3</v>
      </c>
      <c r="M114" s="1">
        <v>1</v>
      </c>
      <c r="N114" s="1">
        <f t="shared" ref="N114:O114" si="33">B86/2+0.5</f>
        <v>0.75</v>
      </c>
      <c r="O114" s="1">
        <f t="shared" si="33"/>
        <v>0.625</v>
      </c>
      <c r="P114">
        <v>0.499863</v>
      </c>
    </row>
    <row r="115" spans="12:16">
      <c r="L115" s="1" t="s">
        <v>3</v>
      </c>
      <c r="M115" s="1">
        <v>1</v>
      </c>
      <c r="N115" s="1">
        <f t="shared" ref="N115:O115" si="34">B87/2+0.5</f>
        <v>0.5</v>
      </c>
      <c r="O115" s="1">
        <f t="shared" si="34"/>
        <v>0.875</v>
      </c>
      <c r="P115">
        <v>0</v>
      </c>
    </row>
    <row r="116" spans="12:16">
      <c r="L116" s="1" t="s">
        <v>3</v>
      </c>
      <c r="M116" s="1">
        <v>1</v>
      </c>
      <c r="N116" s="1">
        <f t="shared" ref="N116:O116" si="35">B88/2+0.5</f>
        <v>0.5</v>
      </c>
      <c r="O116" s="1">
        <f t="shared" si="35"/>
        <v>0.625</v>
      </c>
      <c r="P116">
        <v>0</v>
      </c>
    </row>
  </sheetData>
  <sortState xmlns:xlrd2="http://schemas.microsoft.com/office/spreadsheetml/2017/richdata2" ref="V10:AC37">
    <sortCondition ref="V10:V37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CA1C-8708-418E-ADAB-2722F63FF05D}">
  <dimension ref="B2:V113"/>
  <sheetViews>
    <sheetView workbookViewId="0">
      <selection activeCell="D19" sqref="D19:E19"/>
    </sheetView>
  </sheetViews>
  <sheetFormatPr defaultRowHeight="14.25"/>
  <sheetData>
    <row r="2" spans="2:22">
      <c r="B2" s="1" t="s">
        <v>0</v>
      </c>
      <c r="C2" s="1">
        <v>1</v>
      </c>
      <c r="D2" s="1">
        <v>0.39874999999999999</v>
      </c>
      <c r="E2" s="1">
        <v>0.48065000000000002</v>
      </c>
      <c r="F2" s="1">
        <v>0.83109500000000003</v>
      </c>
      <c r="H2" s="2" t="s">
        <v>0</v>
      </c>
      <c r="I2" s="2">
        <v>1</v>
      </c>
      <c r="J2" s="2">
        <v>0.89874999999999994</v>
      </c>
      <c r="K2" s="2">
        <v>0.48065000000000002</v>
      </c>
      <c r="L2" s="2">
        <v>0.83109500000000003</v>
      </c>
      <c r="O2" t="str">
        <f>B2</f>
        <v>H</v>
      </c>
      <c r="P2">
        <f t="shared" ref="P2:S17" si="0">C2</f>
        <v>1</v>
      </c>
      <c r="Q2">
        <f t="shared" si="0"/>
        <v>0.39874999999999999</v>
      </c>
      <c r="R2">
        <f t="shared" si="0"/>
        <v>0.48065000000000002</v>
      </c>
      <c r="S2">
        <f t="shared" si="0"/>
        <v>0.83109500000000003</v>
      </c>
      <c r="T2" t="s">
        <v>13</v>
      </c>
      <c r="U2">
        <v>3.0000000000000001E-3</v>
      </c>
      <c r="V2" t="s">
        <v>0</v>
      </c>
    </row>
    <row r="3" spans="2:22">
      <c r="B3" s="1" t="s">
        <v>0</v>
      </c>
      <c r="C3" s="1">
        <v>0</v>
      </c>
      <c r="D3" s="1">
        <v>0.39874999999999999</v>
      </c>
      <c r="E3" s="1">
        <v>0.48065000000000002</v>
      </c>
      <c r="F3" s="1">
        <v>0.69630499999999995</v>
      </c>
      <c r="H3" s="2" t="s">
        <v>0</v>
      </c>
      <c r="I3" s="2">
        <v>0</v>
      </c>
      <c r="J3" s="2">
        <v>0.89874999999999994</v>
      </c>
      <c r="K3" s="2">
        <v>0.48065000000000002</v>
      </c>
      <c r="L3" s="2">
        <v>0.69630499999999995</v>
      </c>
      <c r="O3" t="str">
        <f t="shared" ref="O3:O29" si="1">B3</f>
        <v>H</v>
      </c>
      <c r="P3">
        <f t="shared" si="0"/>
        <v>0</v>
      </c>
      <c r="Q3">
        <f t="shared" si="0"/>
        <v>0.39874999999999999</v>
      </c>
      <c r="R3">
        <f t="shared" si="0"/>
        <v>0.48065000000000002</v>
      </c>
      <c r="S3">
        <f t="shared" si="0"/>
        <v>0.69630499999999995</v>
      </c>
      <c r="T3" t="s">
        <v>13</v>
      </c>
      <c r="U3">
        <v>3.0000000000000001E-3</v>
      </c>
      <c r="V3" t="s">
        <v>0</v>
      </c>
    </row>
    <row r="4" spans="2:22">
      <c r="B4" s="1" t="s">
        <v>0</v>
      </c>
      <c r="C4" s="1">
        <v>1</v>
      </c>
      <c r="D4" s="1">
        <v>0.39874999999999999</v>
      </c>
      <c r="E4" s="1">
        <v>0.23064999999999999</v>
      </c>
      <c r="F4" s="1">
        <v>0.83109500000000003</v>
      </c>
      <c r="H4" s="2" t="s">
        <v>0</v>
      </c>
      <c r="I4" s="2">
        <v>1</v>
      </c>
      <c r="J4" s="2">
        <v>0.89874999999999994</v>
      </c>
      <c r="K4" s="2">
        <v>0.23064999999999999</v>
      </c>
      <c r="L4" s="2">
        <v>0.83109500000000003</v>
      </c>
      <c r="O4" t="str">
        <f t="shared" si="1"/>
        <v>H</v>
      </c>
      <c r="P4">
        <f t="shared" si="0"/>
        <v>1</v>
      </c>
      <c r="Q4">
        <f t="shared" si="0"/>
        <v>0.39874999999999999</v>
      </c>
      <c r="R4">
        <f t="shared" si="0"/>
        <v>0.23064999999999999</v>
      </c>
      <c r="S4">
        <f t="shared" si="0"/>
        <v>0.83109500000000003</v>
      </c>
      <c r="T4" t="s">
        <v>13</v>
      </c>
      <c r="U4">
        <v>3.0000000000000001E-3</v>
      </c>
      <c r="V4" t="s">
        <v>0</v>
      </c>
    </row>
    <row r="5" spans="2:22">
      <c r="B5" s="1" t="s">
        <v>0</v>
      </c>
      <c r="C5" s="1">
        <v>0</v>
      </c>
      <c r="D5" s="1">
        <v>0.39874999999999999</v>
      </c>
      <c r="E5" s="1">
        <v>0.23064999999999999</v>
      </c>
      <c r="F5" s="1">
        <v>0.69630499999999995</v>
      </c>
      <c r="H5" s="2" t="s">
        <v>0</v>
      </c>
      <c r="I5" s="2">
        <v>0</v>
      </c>
      <c r="J5" s="2">
        <v>0.89874999999999994</v>
      </c>
      <c r="K5" s="2">
        <v>0.23064999999999999</v>
      </c>
      <c r="L5" s="2">
        <v>0.69630499999999995</v>
      </c>
      <c r="O5" t="str">
        <f t="shared" si="1"/>
        <v>H</v>
      </c>
      <c r="P5">
        <f t="shared" si="0"/>
        <v>0</v>
      </c>
      <c r="Q5">
        <f t="shared" si="0"/>
        <v>0.39874999999999999</v>
      </c>
      <c r="R5">
        <f t="shared" si="0"/>
        <v>0.23064999999999999</v>
      </c>
      <c r="S5">
        <f t="shared" si="0"/>
        <v>0.69630499999999995</v>
      </c>
      <c r="T5" t="s">
        <v>13</v>
      </c>
      <c r="U5">
        <v>3.0000000000000001E-3</v>
      </c>
      <c r="V5" t="s">
        <v>0</v>
      </c>
    </row>
    <row r="6" spans="2:22">
      <c r="B6" s="1" t="s">
        <v>0</v>
      </c>
      <c r="C6" s="1">
        <v>1</v>
      </c>
      <c r="D6" s="1">
        <v>0.14874999999999999</v>
      </c>
      <c r="E6" s="1">
        <v>0.48065000000000002</v>
      </c>
      <c r="F6" s="1">
        <v>0.33009500000000003</v>
      </c>
      <c r="H6" s="2" t="s">
        <v>0</v>
      </c>
      <c r="I6" s="2">
        <v>1</v>
      </c>
      <c r="J6" s="2">
        <v>0.64874999999999994</v>
      </c>
      <c r="K6" s="2">
        <v>0.48065000000000002</v>
      </c>
      <c r="L6" s="2">
        <v>0.33009500000000003</v>
      </c>
      <c r="O6" t="str">
        <f t="shared" si="1"/>
        <v>H</v>
      </c>
      <c r="P6">
        <f t="shared" si="0"/>
        <v>1</v>
      </c>
      <c r="Q6">
        <f t="shared" si="0"/>
        <v>0.14874999999999999</v>
      </c>
      <c r="R6">
        <f t="shared" si="0"/>
        <v>0.48065000000000002</v>
      </c>
      <c r="S6">
        <f t="shared" si="0"/>
        <v>0.33009500000000003</v>
      </c>
      <c r="T6" t="s">
        <v>13</v>
      </c>
      <c r="U6">
        <v>3.0000000000000001E-3</v>
      </c>
      <c r="V6" t="s">
        <v>0</v>
      </c>
    </row>
    <row r="7" spans="2:22">
      <c r="B7" s="1" t="s">
        <v>0</v>
      </c>
      <c r="C7" s="1">
        <v>0</v>
      </c>
      <c r="D7" s="1">
        <v>0.14874999999999999</v>
      </c>
      <c r="E7" s="1">
        <v>0.48065000000000002</v>
      </c>
      <c r="F7" s="1">
        <v>0.19530500000000001</v>
      </c>
      <c r="H7" s="2" t="s">
        <v>0</v>
      </c>
      <c r="I7" s="2">
        <v>0</v>
      </c>
      <c r="J7" s="2">
        <v>0.64874999999999994</v>
      </c>
      <c r="K7" s="2">
        <v>0.48065000000000002</v>
      </c>
      <c r="L7" s="2">
        <v>0.19530500000000001</v>
      </c>
      <c r="O7" t="str">
        <f t="shared" si="1"/>
        <v>H</v>
      </c>
      <c r="P7">
        <f t="shared" si="0"/>
        <v>0</v>
      </c>
      <c r="Q7">
        <f t="shared" si="0"/>
        <v>0.14874999999999999</v>
      </c>
      <c r="R7">
        <f t="shared" si="0"/>
        <v>0.48065000000000002</v>
      </c>
      <c r="S7">
        <f t="shared" si="0"/>
        <v>0.19530500000000001</v>
      </c>
      <c r="T7" t="s">
        <v>13</v>
      </c>
      <c r="U7">
        <v>3.0000000000000001E-3</v>
      </c>
      <c r="V7" t="s">
        <v>0</v>
      </c>
    </row>
    <row r="8" spans="2:22">
      <c r="B8" s="1" t="s">
        <v>0</v>
      </c>
      <c r="C8" s="1">
        <v>1</v>
      </c>
      <c r="D8" s="1">
        <v>0.14874999999999999</v>
      </c>
      <c r="E8" s="1">
        <v>0.23064999999999999</v>
      </c>
      <c r="F8" s="1">
        <v>0.33009500000000003</v>
      </c>
      <c r="H8" s="2" t="s">
        <v>0</v>
      </c>
      <c r="I8" s="2">
        <v>1</v>
      </c>
      <c r="J8" s="2">
        <v>0.64874999999999994</v>
      </c>
      <c r="K8" s="2">
        <v>0.23064999999999999</v>
      </c>
      <c r="L8" s="2">
        <v>0.33009500000000003</v>
      </c>
      <c r="O8" t="str">
        <f t="shared" si="1"/>
        <v>H</v>
      </c>
      <c r="P8">
        <f t="shared" si="0"/>
        <v>1</v>
      </c>
      <c r="Q8">
        <f t="shared" si="0"/>
        <v>0.14874999999999999</v>
      </c>
      <c r="R8">
        <f t="shared" si="0"/>
        <v>0.23064999999999999</v>
      </c>
      <c r="S8">
        <f t="shared" si="0"/>
        <v>0.33009500000000003</v>
      </c>
      <c r="T8" t="s">
        <v>13</v>
      </c>
      <c r="U8">
        <v>3.0000000000000001E-3</v>
      </c>
      <c r="V8" t="s">
        <v>0</v>
      </c>
    </row>
    <row r="9" spans="2:22">
      <c r="B9" s="1" t="s">
        <v>0</v>
      </c>
      <c r="C9" s="1">
        <v>0</v>
      </c>
      <c r="D9" s="1">
        <v>0.14874999999999999</v>
      </c>
      <c r="E9" s="1">
        <v>0.23064999999999999</v>
      </c>
      <c r="F9" s="1">
        <v>0.19530500000000001</v>
      </c>
      <c r="H9" s="2" t="s">
        <v>0</v>
      </c>
      <c r="I9" s="2">
        <v>0</v>
      </c>
      <c r="J9" s="2">
        <v>0.64874999999999994</v>
      </c>
      <c r="K9" s="2">
        <v>0.23064999999999999</v>
      </c>
      <c r="L9" s="2">
        <v>0.19530500000000001</v>
      </c>
      <c r="O9" t="str">
        <f t="shared" si="1"/>
        <v>H</v>
      </c>
      <c r="P9">
        <f t="shared" si="0"/>
        <v>0</v>
      </c>
      <c r="Q9">
        <f t="shared" si="0"/>
        <v>0.14874999999999999</v>
      </c>
      <c r="R9">
        <f t="shared" si="0"/>
        <v>0.23064999999999999</v>
      </c>
      <c r="S9">
        <f t="shared" si="0"/>
        <v>0.19530500000000001</v>
      </c>
      <c r="T9" t="s">
        <v>13</v>
      </c>
      <c r="U9">
        <v>3.0000000000000001E-3</v>
      </c>
      <c r="V9" t="s">
        <v>0</v>
      </c>
    </row>
    <row r="10" spans="2:22">
      <c r="B10" s="1" t="s">
        <v>1</v>
      </c>
      <c r="C10" s="1">
        <v>1</v>
      </c>
      <c r="D10" s="1">
        <v>0.39750000000000002</v>
      </c>
      <c r="E10" s="1">
        <v>0.35249999999999998</v>
      </c>
      <c r="F10" s="1">
        <v>0.27280100000000002</v>
      </c>
      <c r="H10" s="2" t="s">
        <v>1</v>
      </c>
      <c r="I10" s="2">
        <v>1</v>
      </c>
      <c r="J10" s="2">
        <v>0.89749999999999996</v>
      </c>
      <c r="K10" s="2">
        <v>0.35249999999999998</v>
      </c>
      <c r="L10" s="2">
        <v>0.27280100000000002</v>
      </c>
      <c r="O10" t="str">
        <f t="shared" si="1"/>
        <v>O</v>
      </c>
      <c r="P10">
        <f t="shared" si="0"/>
        <v>1</v>
      </c>
      <c r="Q10">
        <f t="shared" si="0"/>
        <v>0.39750000000000002</v>
      </c>
      <c r="R10">
        <f t="shared" si="0"/>
        <v>0.35249999999999998</v>
      </c>
      <c r="S10">
        <f t="shared" si="0"/>
        <v>0.27280100000000002</v>
      </c>
      <c r="T10" t="s">
        <v>13</v>
      </c>
      <c r="U10">
        <v>1.2999999999999999E-2</v>
      </c>
      <c r="V10" t="s">
        <v>1</v>
      </c>
    </row>
    <row r="11" spans="2:22">
      <c r="B11" s="1" t="s">
        <v>1</v>
      </c>
      <c r="C11" s="1">
        <v>1</v>
      </c>
      <c r="D11" s="1">
        <v>0.39750000000000002</v>
      </c>
      <c r="E11" s="1">
        <v>0.10249999999999999</v>
      </c>
      <c r="F11" s="1">
        <v>0.72692500000000004</v>
      </c>
      <c r="H11" s="2" t="s">
        <v>1</v>
      </c>
      <c r="I11" s="2">
        <v>1</v>
      </c>
      <c r="J11" s="2">
        <v>0.89749999999999996</v>
      </c>
      <c r="K11" s="2">
        <v>0.10249999999999999</v>
      </c>
      <c r="L11" s="2">
        <v>0.72692500000000004</v>
      </c>
      <c r="O11" t="str">
        <f t="shared" si="1"/>
        <v>O</v>
      </c>
      <c r="P11">
        <f t="shared" si="0"/>
        <v>1</v>
      </c>
      <c r="Q11">
        <f t="shared" si="0"/>
        <v>0.39750000000000002</v>
      </c>
      <c r="R11">
        <f t="shared" si="0"/>
        <v>0.10249999999999999</v>
      </c>
      <c r="S11">
        <f t="shared" si="0"/>
        <v>0.72692500000000004</v>
      </c>
      <c r="T11" t="s">
        <v>13</v>
      </c>
      <c r="U11">
        <v>1.2999999999999999E-2</v>
      </c>
      <c r="V11" t="s">
        <v>1</v>
      </c>
    </row>
    <row r="12" spans="2:22">
      <c r="B12" s="1" t="s">
        <v>1</v>
      </c>
      <c r="C12" s="1">
        <v>1</v>
      </c>
      <c r="D12" s="1">
        <v>0.35249999999999998</v>
      </c>
      <c r="E12" s="1">
        <v>0.39750000000000002</v>
      </c>
      <c r="F12" s="1">
        <v>0.77293800000000001</v>
      </c>
      <c r="H12" s="2" t="s">
        <v>1</v>
      </c>
      <c r="I12" s="2">
        <v>1</v>
      </c>
      <c r="J12" s="2">
        <v>0.85250000000000004</v>
      </c>
      <c r="K12" s="2">
        <v>0.39750000000000002</v>
      </c>
      <c r="L12" s="2">
        <v>0.77293800000000001</v>
      </c>
      <c r="O12" t="str">
        <f t="shared" si="1"/>
        <v>O</v>
      </c>
      <c r="P12">
        <f t="shared" si="0"/>
        <v>1</v>
      </c>
      <c r="Q12">
        <f t="shared" si="0"/>
        <v>0.35249999999999998</v>
      </c>
      <c r="R12">
        <f t="shared" si="0"/>
        <v>0.39750000000000002</v>
      </c>
      <c r="S12">
        <f t="shared" si="0"/>
        <v>0.77293800000000001</v>
      </c>
      <c r="T12" t="s">
        <v>13</v>
      </c>
      <c r="U12">
        <v>1.2999999999999999E-2</v>
      </c>
      <c r="V12" t="s">
        <v>1</v>
      </c>
    </row>
    <row r="13" spans="2:22">
      <c r="B13" s="1" t="s">
        <v>1</v>
      </c>
      <c r="C13" s="1">
        <v>1</v>
      </c>
      <c r="D13" s="1">
        <v>0.35249999999999998</v>
      </c>
      <c r="E13" s="1">
        <v>0.14749999999999999</v>
      </c>
      <c r="F13" s="1">
        <v>0.22678799999999999</v>
      </c>
      <c r="H13" s="2" t="s">
        <v>1</v>
      </c>
      <c r="I13" s="2">
        <v>1</v>
      </c>
      <c r="J13" s="2">
        <v>0.85250000000000004</v>
      </c>
      <c r="K13" s="2">
        <v>0.14749999999999999</v>
      </c>
      <c r="L13" s="2">
        <v>0.22678799999999999</v>
      </c>
      <c r="O13" t="str">
        <f t="shared" si="1"/>
        <v>O</v>
      </c>
      <c r="P13">
        <f t="shared" si="0"/>
        <v>1</v>
      </c>
      <c r="Q13">
        <f t="shared" si="0"/>
        <v>0.35249999999999998</v>
      </c>
      <c r="R13">
        <f t="shared" si="0"/>
        <v>0.14749999999999999</v>
      </c>
      <c r="S13">
        <f t="shared" si="0"/>
        <v>0.22678799999999999</v>
      </c>
      <c r="T13" t="s">
        <v>13</v>
      </c>
      <c r="U13">
        <v>1.2999999999999999E-2</v>
      </c>
      <c r="V13" t="s">
        <v>1</v>
      </c>
    </row>
    <row r="14" spans="2:22">
      <c r="B14" s="1" t="s">
        <v>1</v>
      </c>
      <c r="C14" s="1">
        <v>1</v>
      </c>
      <c r="D14" s="1">
        <v>0.25</v>
      </c>
      <c r="E14" s="1">
        <v>0.25</v>
      </c>
      <c r="F14" s="1">
        <v>0.545875</v>
      </c>
      <c r="H14" s="2" t="s">
        <v>1</v>
      </c>
      <c r="I14" s="2">
        <v>1</v>
      </c>
      <c r="J14" s="2">
        <v>0.75</v>
      </c>
      <c r="K14" s="2">
        <v>0.25</v>
      </c>
      <c r="L14" s="2">
        <v>0.545875</v>
      </c>
      <c r="O14" t="str">
        <f t="shared" si="1"/>
        <v>O</v>
      </c>
      <c r="P14">
        <f t="shared" si="0"/>
        <v>1</v>
      </c>
      <c r="Q14">
        <f t="shared" si="0"/>
        <v>0.25</v>
      </c>
      <c r="R14">
        <f t="shared" si="0"/>
        <v>0.25</v>
      </c>
      <c r="S14">
        <f t="shared" si="0"/>
        <v>0.545875</v>
      </c>
      <c r="T14" t="s">
        <v>13</v>
      </c>
      <c r="U14">
        <v>1.2999999999999999E-2</v>
      </c>
      <c r="V14" t="s">
        <v>1</v>
      </c>
    </row>
    <row r="15" spans="2:22">
      <c r="B15" s="1" t="s">
        <v>1</v>
      </c>
      <c r="C15" s="1">
        <v>1</v>
      </c>
      <c r="D15" s="1">
        <v>0.25</v>
      </c>
      <c r="E15" s="1">
        <v>0</v>
      </c>
      <c r="F15" s="1">
        <v>0.45384999999999998</v>
      </c>
      <c r="H15" s="2" t="s">
        <v>1</v>
      </c>
      <c r="I15" s="2">
        <v>1</v>
      </c>
      <c r="J15" s="2">
        <v>0.75</v>
      </c>
      <c r="K15" s="2">
        <v>0</v>
      </c>
      <c r="L15" s="2">
        <v>0.45384999999999998</v>
      </c>
      <c r="O15" t="str">
        <f t="shared" si="1"/>
        <v>O</v>
      </c>
      <c r="P15">
        <f t="shared" si="0"/>
        <v>1</v>
      </c>
      <c r="Q15">
        <f t="shared" si="0"/>
        <v>0.25</v>
      </c>
      <c r="R15">
        <f t="shared" si="0"/>
        <v>0</v>
      </c>
      <c r="S15">
        <f t="shared" si="0"/>
        <v>0.45384999999999998</v>
      </c>
      <c r="T15" t="s">
        <v>13</v>
      </c>
      <c r="U15">
        <v>1.2999999999999999E-2</v>
      </c>
      <c r="V15" t="s">
        <v>1</v>
      </c>
    </row>
    <row r="16" spans="2:22">
      <c r="B16" s="1" t="s">
        <v>1</v>
      </c>
      <c r="C16" s="1">
        <v>1</v>
      </c>
      <c r="D16" s="1">
        <v>0.14749999999999999</v>
      </c>
      <c r="E16" s="1">
        <v>0.35249999999999998</v>
      </c>
      <c r="F16" s="1">
        <v>0.22678799999999999</v>
      </c>
      <c r="H16" s="2" t="s">
        <v>1</v>
      </c>
      <c r="I16" s="2">
        <v>1</v>
      </c>
      <c r="J16" s="2">
        <v>0.64749999999999996</v>
      </c>
      <c r="K16" s="2">
        <v>0.35249999999999998</v>
      </c>
      <c r="L16" s="2">
        <v>0.22678799999999999</v>
      </c>
      <c r="O16" t="str">
        <f t="shared" si="1"/>
        <v>O</v>
      </c>
      <c r="P16">
        <f t="shared" si="0"/>
        <v>1</v>
      </c>
      <c r="Q16">
        <f t="shared" si="0"/>
        <v>0.14749999999999999</v>
      </c>
      <c r="R16">
        <f t="shared" si="0"/>
        <v>0.35249999999999998</v>
      </c>
      <c r="S16">
        <f t="shared" si="0"/>
        <v>0.22678799999999999</v>
      </c>
      <c r="T16" t="s">
        <v>13</v>
      </c>
      <c r="U16">
        <v>1.2999999999999999E-2</v>
      </c>
      <c r="V16" t="s">
        <v>1</v>
      </c>
    </row>
    <row r="17" spans="2:22">
      <c r="B17" s="1" t="s">
        <v>1</v>
      </c>
      <c r="C17" s="1">
        <v>1</v>
      </c>
      <c r="D17" s="1">
        <v>0.14749999999999999</v>
      </c>
      <c r="E17" s="1">
        <v>0.10249999999999999</v>
      </c>
      <c r="F17" s="1">
        <v>0.77293800000000001</v>
      </c>
      <c r="H17" s="2" t="s">
        <v>1</v>
      </c>
      <c r="I17" s="2">
        <v>1</v>
      </c>
      <c r="J17" s="2">
        <v>0.64749999999999996</v>
      </c>
      <c r="K17" s="2">
        <v>0.10249999999999999</v>
      </c>
      <c r="L17" s="2">
        <v>0.77293800000000001</v>
      </c>
      <c r="O17" t="str">
        <f t="shared" si="1"/>
        <v>O</v>
      </c>
      <c r="P17">
        <f t="shared" si="0"/>
        <v>1</v>
      </c>
      <c r="Q17">
        <f t="shared" si="0"/>
        <v>0.14749999999999999</v>
      </c>
      <c r="R17">
        <f t="shared" si="0"/>
        <v>0.10249999999999999</v>
      </c>
      <c r="S17">
        <f t="shared" si="0"/>
        <v>0.77293800000000001</v>
      </c>
      <c r="T17" t="s">
        <v>13</v>
      </c>
      <c r="U17">
        <v>1.2999999999999999E-2</v>
      </c>
      <c r="V17" t="s">
        <v>1</v>
      </c>
    </row>
    <row r="18" spans="2:22">
      <c r="B18" s="1" t="s">
        <v>1</v>
      </c>
      <c r="C18" s="1">
        <v>1</v>
      </c>
      <c r="D18" s="1">
        <v>0.10249999999999999</v>
      </c>
      <c r="E18" s="1">
        <v>0.39750000000000002</v>
      </c>
      <c r="F18" s="1">
        <v>0.72692500000000004</v>
      </c>
      <c r="H18" s="2" t="s">
        <v>1</v>
      </c>
      <c r="I18" s="2">
        <v>1</v>
      </c>
      <c r="J18" s="2">
        <v>0.60250000000000004</v>
      </c>
      <c r="K18" s="2">
        <v>0.39750000000000002</v>
      </c>
      <c r="L18" s="2">
        <v>0.72692500000000004</v>
      </c>
      <c r="O18" t="str">
        <f t="shared" si="1"/>
        <v>O</v>
      </c>
      <c r="P18">
        <f t="shared" ref="P18:P29" si="2">C18</f>
        <v>1</v>
      </c>
      <c r="Q18">
        <f t="shared" ref="Q18:Q29" si="3">D18</f>
        <v>0.10249999999999999</v>
      </c>
      <c r="R18">
        <f t="shared" ref="R18:R29" si="4">E18</f>
        <v>0.39750000000000002</v>
      </c>
      <c r="S18">
        <f t="shared" ref="S18:S29" si="5">F18</f>
        <v>0.72692500000000004</v>
      </c>
      <c r="T18" t="s">
        <v>13</v>
      </c>
      <c r="U18">
        <v>1.2999999999999999E-2</v>
      </c>
      <c r="V18" t="s">
        <v>1</v>
      </c>
    </row>
    <row r="19" spans="2:22">
      <c r="B19" s="1" t="s">
        <v>1</v>
      </c>
      <c r="C19" s="1">
        <v>1</v>
      </c>
      <c r="D19" s="1">
        <v>0.10249999999999999</v>
      </c>
      <c r="E19" s="1">
        <v>0.14749999999999999</v>
      </c>
      <c r="F19" s="1">
        <v>0.27279999999999999</v>
      </c>
      <c r="H19" s="2" t="s">
        <v>1</v>
      </c>
      <c r="I19" s="2">
        <v>1</v>
      </c>
      <c r="J19" s="2">
        <v>0.60250000000000004</v>
      </c>
      <c r="K19" s="2">
        <v>0.14749999999999999</v>
      </c>
      <c r="L19" s="2">
        <v>0.27279999999999999</v>
      </c>
      <c r="O19" t="str">
        <f t="shared" si="1"/>
        <v>O</v>
      </c>
      <c r="P19">
        <f t="shared" si="2"/>
        <v>1</v>
      </c>
      <c r="Q19">
        <f t="shared" si="3"/>
        <v>0.10249999999999999</v>
      </c>
      <c r="R19">
        <f t="shared" si="4"/>
        <v>0.14749999999999999</v>
      </c>
      <c r="S19">
        <f t="shared" si="5"/>
        <v>0.27279999999999999</v>
      </c>
      <c r="T19" t="s">
        <v>13</v>
      </c>
      <c r="U19">
        <v>1.2999999999999999E-2</v>
      </c>
      <c r="V19" t="s">
        <v>1</v>
      </c>
    </row>
    <row r="20" spans="2:22">
      <c r="B20" s="1" t="s">
        <v>1</v>
      </c>
      <c r="C20" s="1">
        <v>1</v>
      </c>
      <c r="D20" s="1">
        <v>0</v>
      </c>
      <c r="E20" s="1">
        <v>0.25</v>
      </c>
      <c r="F20" s="1">
        <v>0.95398700000000003</v>
      </c>
      <c r="H20" s="2" t="s">
        <v>1</v>
      </c>
      <c r="I20" s="2">
        <v>1</v>
      </c>
      <c r="J20" s="2">
        <v>0.5</v>
      </c>
      <c r="K20" s="2">
        <v>0.25</v>
      </c>
      <c r="L20" s="2">
        <v>0.95398700000000003</v>
      </c>
      <c r="O20" t="str">
        <f t="shared" si="1"/>
        <v>O</v>
      </c>
      <c r="P20">
        <f t="shared" si="2"/>
        <v>1</v>
      </c>
      <c r="Q20">
        <f t="shared" si="3"/>
        <v>0</v>
      </c>
      <c r="R20">
        <f t="shared" si="4"/>
        <v>0.25</v>
      </c>
      <c r="S20">
        <f t="shared" si="5"/>
        <v>0.95398700000000003</v>
      </c>
      <c r="T20" t="s">
        <v>13</v>
      </c>
      <c r="U20">
        <v>1.2999999999999999E-2</v>
      </c>
      <c r="V20" t="s">
        <v>1</v>
      </c>
    </row>
    <row r="21" spans="2:22">
      <c r="B21" s="1" t="s">
        <v>1</v>
      </c>
      <c r="C21" s="1">
        <v>1</v>
      </c>
      <c r="D21" s="1">
        <v>0</v>
      </c>
      <c r="E21" s="1">
        <v>0</v>
      </c>
      <c r="F21" s="1">
        <v>4.5738000000000001E-2</v>
      </c>
      <c r="H21" s="2" t="s">
        <v>1</v>
      </c>
      <c r="I21" s="2">
        <v>1</v>
      </c>
      <c r="J21" s="2">
        <v>0.5</v>
      </c>
      <c r="K21" s="2">
        <v>0</v>
      </c>
      <c r="L21" s="2">
        <v>4.5738000000000001E-2</v>
      </c>
      <c r="O21" t="str">
        <f t="shared" si="1"/>
        <v>O</v>
      </c>
      <c r="P21">
        <f t="shared" si="2"/>
        <v>1</v>
      </c>
      <c r="Q21">
        <f t="shared" si="3"/>
        <v>0</v>
      </c>
      <c r="R21">
        <f t="shared" si="4"/>
        <v>0</v>
      </c>
      <c r="S21">
        <f t="shared" si="5"/>
        <v>4.5738000000000001E-2</v>
      </c>
      <c r="T21" t="s">
        <v>13</v>
      </c>
      <c r="U21">
        <v>1.2999999999999999E-2</v>
      </c>
      <c r="V21" t="s">
        <v>1</v>
      </c>
    </row>
    <row r="22" spans="2:22">
      <c r="B22" s="1" t="s">
        <v>2</v>
      </c>
      <c r="C22" s="1">
        <v>1</v>
      </c>
      <c r="D22" s="1">
        <v>0.25</v>
      </c>
      <c r="E22" s="1">
        <v>0.25</v>
      </c>
      <c r="F22" s="1">
        <v>0</v>
      </c>
      <c r="H22" s="2" t="s">
        <v>2</v>
      </c>
      <c r="I22" s="2">
        <v>1</v>
      </c>
      <c r="J22" s="2">
        <v>0.75</v>
      </c>
      <c r="K22" s="2">
        <v>0.25</v>
      </c>
      <c r="L22" s="2">
        <v>0</v>
      </c>
      <c r="O22" t="str">
        <f t="shared" si="1"/>
        <v>Sr</v>
      </c>
      <c r="P22">
        <f t="shared" si="2"/>
        <v>1</v>
      </c>
      <c r="Q22">
        <f t="shared" si="3"/>
        <v>0.25</v>
      </c>
      <c r="R22">
        <f t="shared" si="4"/>
        <v>0.25</v>
      </c>
      <c r="S22">
        <f t="shared" si="5"/>
        <v>0</v>
      </c>
      <c r="T22" t="s">
        <v>13</v>
      </c>
      <c r="U22">
        <v>4.7999999999999996E-3</v>
      </c>
      <c r="V22" t="s">
        <v>2</v>
      </c>
    </row>
    <row r="23" spans="2:22">
      <c r="B23" s="1" t="s">
        <v>2</v>
      </c>
      <c r="C23" s="1">
        <v>1</v>
      </c>
      <c r="D23" s="1">
        <v>0.25</v>
      </c>
      <c r="E23" s="1">
        <v>0</v>
      </c>
      <c r="F23" s="1">
        <v>0</v>
      </c>
      <c r="H23" s="2" t="s">
        <v>2</v>
      </c>
      <c r="I23" s="2">
        <v>1</v>
      </c>
      <c r="J23" s="2">
        <v>0.75</v>
      </c>
      <c r="K23" s="2">
        <v>0</v>
      </c>
      <c r="L23" s="2">
        <v>0</v>
      </c>
      <c r="O23" t="str">
        <f t="shared" si="1"/>
        <v>Sr</v>
      </c>
      <c r="P23">
        <f t="shared" si="2"/>
        <v>1</v>
      </c>
      <c r="Q23">
        <f t="shared" si="3"/>
        <v>0.25</v>
      </c>
      <c r="R23">
        <f t="shared" si="4"/>
        <v>0</v>
      </c>
      <c r="S23">
        <f t="shared" si="5"/>
        <v>0</v>
      </c>
      <c r="T23" t="s">
        <v>13</v>
      </c>
      <c r="U23">
        <v>4.7999999999999996E-3</v>
      </c>
      <c r="V23" t="s">
        <v>2</v>
      </c>
    </row>
    <row r="24" spans="2:22">
      <c r="B24" s="1" t="s">
        <v>2</v>
      </c>
      <c r="C24" s="1">
        <v>1</v>
      </c>
      <c r="D24" s="1">
        <v>0</v>
      </c>
      <c r="E24" s="1">
        <v>0.25</v>
      </c>
      <c r="F24" s="1">
        <v>0.499863</v>
      </c>
      <c r="H24" s="2" t="s">
        <v>2</v>
      </c>
      <c r="I24" s="2">
        <v>1</v>
      </c>
      <c r="J24" s="2">
        <v>0.5</v>
      </c>
      <c r="K24" s="2">
        <v>0.25</v>
      </c>
      <c r="L24" s="2">
        <v>0.499863</v>
      </c>
      <c r="O24" t="str">
        <f t="shared" si="1"/>
        <v>Sr</v>
      </c>
      <c r="P24">
        <f t="shared" si="2"/>
        <v>1</v>
      </c>
      <c r="Q24">
        <f t="shared" si="3"/>
        <v>0</v>
      </c>
      <c r="R24">
        <f t="shared" si="4"/>
        <v>0.25</v>
      </c>
      <c r="S24">
        <f t="shared" si="5"/>
        <v>0.499863</v>
      </c>
      <c r="T24" t="s">
        <v>13</v>
      </c>
      <c r="U24">
        <v>4.7999999999999996E-3</v>
      </c>
      <c r="V24" t="s">
        <v>2</v>
      </c>
    </row>
    <row r="25" spans="2:22">
      <c r="B25" s="1" t="s">
        <v>2</v>
      </c>
      <c r="C25" s="1">
        <v>1</v>
      </c>
      <c r="D25" s="1">
        <v>0</v>
      </c>
      <c r="E25" s="1">
        <v>0</v>
      </c>
      <c r="F25" s="1">
        <v>0.499863</v>
      </c>
      <c r="H25" s="2" t="s">
        <v>2</v>
      </c>
      <c r="I25" s="2">
        <v>1</v>
      </c>
      <c r="J25" s="2">
        <v>0.5</v>
      </c>
      <c r="K25" s="2">
        <v>0</v>
      </c>
      <c r="L25" s="2">
        <v>0.499863</v>
      </c>
      <c r="O25" t="str">
        <f t="shared" si="1"/>
        <v>Sr</v>
      </c>
      <c r="P25">
        <f t="shared" si="2"/>
        <v>1</v>
      </c>
      <c r="Q25">
        <f t="shared" si="3"/>
        <v>0</v>
      </c>
      <c r="R25">
        <f t="shared" si="4"/>
        <v>0</v>
      </c>
      <c r="S25">
        <f t="shared" si="5"/>
        <v>0.499863</v>
      </c>
      <c r="T25" t="s">
        <v>13</v>
      </c>
      <c r="U25">
        <v>4.7999999999999996E-3</v>
      </c>
      <c r="V25" t="s">
        <v>2</v>
      </c>
    </row>
    <row r="26" spans="2:22">
      <c r="B26" s="1" t="s">
        <v>3</v>
      </c>
      <c r="C26" s="1">
        <v>1</v>
      </c>
      <c r="D26" s="1">
        <v>0.25</v>
      </c>
      <c r="E26" s="1">
        <v>0.375</v>
      </c>
      <c r="F26" s="1">
        <v>0.499863</v>
      </c>
      <c r="H26" s="2" t="s">
        <v>3</v>
      </c>
      <c r="I26" s="2">
        <v>1</v>
      </c>
      <c r="J26" s="2">
        <v>0.75</v>
      </c>
      <c r="K26" s="2">
        <v>0.375</v>
      </c>
      <c r="L26" s="2">
        <v>0.499863</v>
      </c>
      <c r="O26" t="str">
        <f t="shared" si="1"/>
        <v>Ti</v>
      </c>
      <c r="P26">
        <f t="shared" si="2"/>
        <v>1</v>
      </c>
      <c r="Q26">
        <f t="shared" si="3"/>
        <v>0.25</v>
      </c>
      <c r="R26">
        <f t="shared" si="4"/>
        <v>0.375</v>
      </c>
      <c r="S26">
        <f t="shared" si="5"/>
        <v>0.499863</v>
      </c>
      <c r="T26" t="s">
        <v>13</v>
      </c>
      <c r="U26">
        <v>4.0000000000000001E-3</v>
      </c>
      <c r="V26" t="s">
        <v>3</v>
      </c>
    </row>
    <row r="27" spans="2:22">
      <c r="B27" s="1" t="s">
        <v>3</v>
      </c>
      <c r="C27" s="1">
        <v>1</v>
      </c>
      <c r="D27" s="1">
        <v>0.25</v>
      </c>
      <c r="E27" s="1">
        <v>0.125</v>
      </c>
      <c r="F27" s="1">
        <v>0.499863</v>
      </c>
      <c r="H27" s="2" t="s">
        <v>3</v>
      </c>
      <c r="I27" s="2">
        <v>1</v>
      </c>
      <c r="J27" s="2">
        <v>0.75</v>
      </c>
      <c r="K27" s="2">
        <v>0.125</v>
      </c>
      <c r="L27" s="2">
        <v>0.499863</v>
      </c>
      <c r="O27" t="str">
        <f t="shared" si="1"/>
        <v>Ti</v>
      </c>
      <c r="P27">
        <f t="shared" si="2"/>
        <v>1</v>
      </c>
      <c r="Q27">
        <f t="shared" si="3"/>
        <v>0.25</v>
      </c>
      <c r="R27">
        <f t="shared" si="4"/>
        <v>0.125</v>
      </c>
      <c r="S27">
        <f t="shared" si="5"/>
        <v>0.499863</v>
      </c>
      <c r="T27" t="s">
        <v>13</v>
      </c>
      <c r="U27">
        <v>4.0000000000000001E-3</v>
      </c>
      <c r="V27" t="s">
        <v>3</v>
      </c>
    </row>
    <row r="28" spans="2:22">
      <c r="B28" s="1" t="s">
        <v>3</v>
      </c>
      <c r="C28" s="1">
        <v>1</v>
      </c>
      <c r="D28" s="1">
        <v>0</v>
      </c>
      <c r="E28" s="1">
        <v>0.375</v>
      </c>
      <c r="F28" s="1">
        <v>0</v>
      </c>
      <c r="H28" s="2" t="s">
        <v>3</v>
      </c>
      <c r="I28" s="2">
        <v>1</v>
      </c>
      <c r="J28" s="2">
        <v>0.5</v>
      </c>
      <c r="K28" s="2">
        <v>0.375</v>
      </c>
      <c r="L28" s="2">
        <v>0</v>
      </c>
      <c r="O28" t="str">
        <f t="shared" si="1"/>
        <v>Ti</v>
      </c>
      <c r="P28">
        <f t="shared" si="2"/>
        <v>1</v>
      </c>
      <c r="Q28">
        <f t="shared" si="3"/>
        <v>0</v>
      </c>
      <c r="R28">
        <f t="shared" si="4"/>
        <v>0.375</v>
      </c>
      <c r="S28">
        <f t="shared" si="5"/>
        <v>0</v>
      </c>
      <c r="T28" t="s">
        <v>13</v>
      </c>
      <c r="U28">
        <v>4.0000000000000001E-3</v>
      </c>
      <c r="V28" t="s">
        <v>3</v>
      </c>
    </row>
    <row r="29" spans="2:22">
      <c r="B29" s="1" t="s">
        <v>3</v>
      </c>
      <c r="C29" s="1">
        <v>1</v>
      </c>
      <c r="D29" s="1">
        <v>0</v>
      </c>
      <c r="E29" s="1">
        <v>0.125</v>
      </c>
      <c r="F29" s="1">
        <v>0</v>
      </c>
      <c r="H29" s="2" t="s">
        <v>3</v>
      </c>
      <c r="I29" s="2">
        <v>1</v>
      </c>
      <c r="J29" s="2">
        <v>0.5</v>
      </c>
      <c r="K29" s="2">
        <v>0.125</v>
      </c>
      <c r="L29" s="2">
        <v>0</v>
      </c>
      <c r="O29" t="str">
        <f t="shared" si="1"/>
        <v>Ti</v>
      </c>
      <c r="P29">
        <f t="shared" si="2"/>
        <v>1</v>
      </c>
      <c r="Q29">
        <f t="shared" si="3"/>
        <v>0</v>
      </c>
      <c r="R29">
        <f t="shared" si="4"/>
        <v>0.125</v>
      </c>
      <c r="S29">
        <f t="shared" si="5"/>
        <v>0</v>
      </c>
      <c r="T29" t="s">
        <v>13</v>
      </c>
      <c r="U29">
        <v>4.0000000000000001E-3</v>
      </c>
      <c r="V29" t="s">
        <v>3</v>
      </c>
    </row>
    <row r="30" spans="2:22">
      <c r="O30" t="str">
        <f>H2</f>
        <v>H</v>
      </c>
      <c r="P30">
        <f t="shared" ref="P30:S30" si="6">I2</f>
        <v>1</v>
      </c>
      <c r="Q30">
        <f t="shared" si="6"/>
        <v>0.89874999999999994</v>
      </c>
      <c r="R30">
        <f t="shared" si="6"/>
        <v>0.48065000000000002</v>
      </c>
      <c r="S30">
        <f t="shared" si="6"/>
        <v>0.83109500000000003</v>
      </c>
      <c r="T30" t="s">
        <v>13</v>
      </c>
      <c r="U30">
        <v>3.0000000000000001E-3</v>
      </c>
      <c r="V30" t="s">
        <v>0</v>
      </c>
    </row>
    <row r="31" spans="2:22">
      <c r="B31" s="4" t="s">
        <v>0</v>
      </c>
      <c r="C31" s="4">
        <v>1</v>
      </c>
      <c r="D31" s="4">
        <v>0.39874999999999999</v>
      </c>
      <c r="E31" s="4">
        <v>0.98065000000000002</v>
      </c>
      <c r="F31" s="4">
        <v>0.83109500000000003</v>
      </c>
      <c r="H31" s="5" t="s">
        <v>0</v>
      </c>
      <c r="I31" s="5">
        <v>1</v>
      </c>
      <c r="J31" s="5">
        <v>0.89874999999999994</v>
      </c>
      <c r="K31" s="5">
        <v>0.98065000000000002</v>
      </c>
      <c r="L31" s="5">
        <v>0.83109500000000003</v>
      </c>
      <c r="O31" t="str">
        <f t="shared" ref="O31:O93" si="7">H3</f>
        <v>H</v>
      </c>
      <c r="P31">
        <f t="shared" ref="P31:P93" si="8">I3</f>
        <v>0</v>
      </c>
      <c r="Q31">
        <f t="shared" ref="Q31:Q93" si="9">J3</f>
        <v>0.89874999999999994</v>
      </c>
      <c r="R31">
        <f t="shared" ref="R31:R93" si="10">K3</f>
        <v>0.48065000000000002</v>
      </c>
      <c r="S31">
        <f t="shared" ref="S31:S93" si="11">L3</f>
        <v>0.69630499999999995</v>
      </c>
      <c r="T31" t="s">
        <v>13</v>
      </c>
      <c r="U31">
        <v>3.0000000000000001E-3</v>
      </c>
      <c r="V31" t="s">
        <v>0</v>
      </c>
    </row>
    <row r="32" spans="2:22">
      <c r="B32" s="4" t="s">
        <v>0</v>
      </c>
      <c r="C32" s="4">
        <v>0</v>
      </c>
      <c r="D32" s="4">
        <v>0.39874999999999999</v>
      </c>
      <c r="E32" s="4">
        <v>0.98065000000000002</v>
      </c>
      <c r="F32" s="4">
        <v>0.69630499999999995</v>
      </c>
      <c r="H32" s="5" t="s">
        <v>0</v>
      </c>
      <c r="I32" s="5">
        <v>0</v>
      </c>
      <c r="J32" s="5">
        <v>0.89874999999999994</v>
      </c>
      <c r="K32" s="5">
        <v>0.98065000000000002</v>
      </c>
      <c r="L32" s="5">
        <v>0.69630499999999995</v>
      </c>
      <c r="O32" t="str">
        <f t="shared" si="7"/>
        <v>H</v>
      </c>
      <c r="P32">
        <f t="shared" si="8"/>
        <v>1</v>
      </c>
      <c r="Q32">
        <f t="shared" si="9"/>
        <v>0.89874999999999994</v>
      </c>
      <c r="R32">
        <f t="shared" si="10"/>
        <v>0.23064999999999999</v>
      </c>
      <c r="S32">
        <f t="shared" si="11"/>
        <v>0.83109500000000003</v>
      </c>
      <c r="T32" t="s">
        <v>13</v>
      </c>
      <c r="U32">
        <v>3.0000000000000001E-3</v>
      </c>
      <c r="V32" t="s">
        <v>0</v>
      </c>
    </row>
    <row r="33" spans="2:22">
      <c r="B33" s="4" t="s">
        <v>0</v>
      </c>
      <c r="C33" s="4">
        <v>1</v>
      </c>
      <c r="D33" s="4">
        <v>0.39874999999999999</v>
      </c>
      <c r="E33" s="4">
        <v>0.73065000000000002</v>
      </c>
      <c r="F33" s="4">
        <v>0.83109500000000003</v>
      </c>
      <c r="H33" s="5" t="s">
        <v>0</v>
      </c>
      <c r="I33" s="5">
        <v>1</v>
      </c>
      <c r="J33" s="5">
        <v>0.89874999999999994</v>
      </c>
      <c r="K33" s="5">
        <v>0.73065000000000002</v>
      </c>
      <c r="L33" s="5">
        <v>0.83109500000000003</v>
      </c>
      <c r="O33" t="str">
        <f t="shared" si="7"/>
        <v>H</v>
      </c>
      <c r="P33">
        <f t="shared" si="8"/>
        <v>0</v>
      </c>
      <c r="Q33">
        <f t="shared" si="9"/>
        <v>0.89874999999999994</v>
      </c>
      <c r="R33">
        <f t="shared" si="10"/>
        <v>0.23064999999999999</v>
      </c>
      <c r="S33">
        <f t="shared" si="11"/>
        <v>0.69630499999999995</v>
      </c>
      <c r="T33" t="s">
        <v>13</v>
      </c>
      <c r="U33">
        <v>3.0000000000000001E-3</v>
      </c>
      <c r="V33" t="s">
        <v>0</v>
      </c>
    </row>
    <row r="34" spans="2:22">
      <c r="B34" s="4" t="s">
        <v>0</v>
      </c>
      <c r="C34" s="4">
        <v>0</v>
      </c>
      <c r="D34" s="4">
        <v>0.39874999999999999</v>
      </c>
      <c r="E34" s="4">
        <v>0.73065000000000002</v>
      </c>
      <c r="F34" s="4">
        <v>0.69630499999999995</v>
      </c>
      <c r="H34" s="5" t="s">
        <v>0</v>
      </c>
      <c r="I34" s="5">
        <v>0</v>
      </c>
      <c r="J34" s="5">
        <v>0.89874999999999994</v>
      </c>
      <c r="K34" s="5">
        <v>0.73065000000000002</v>
      </c>
      <c r="L34" s="5">
        <v>0.69630499999999995</v>
      </c>
      <c r="O34" t="str">
        <f t="shared" si="7"/>
        <v>H</v>
      </c>
      <c r="P34">
        <f t="shared" si="8"/>
        <v>1</v>
      </c>
      <c r="Q34">
        <f t="shared" si="9"/>
        <v>0.64874999999999994</v>
      </c>
      <c r="R34">
        <f t="shared" si="10"/>
        <v>0.48065000000000002</v>
      </c>
      <c r="S34">
        <f t="shared" si="11"/>
        <v>0.33009500000000003</v>
      </c>
      <c r="T34" t="s">
        <v>13</v>
      </c>
      <c r="U34">
        <v>3.0000000000000001E-3</v>
      </c>
      <c r="V34" t="s">
        <v>0</v>
      </c>
    </row>
    <row r="35" spans="2:22">
      <c r="B35" s="4" t="s">
        <v>0</v>
      </c>
      <c r="C35" s="4">
        <v>1</v>
      </c>
      <c r="D35" s="4">
        <v>0.14874999999999999</v>
      </c>
      <c r="E35" s="4">
        <v>0.98065000000000002</v>
      </c>
      <c r="F35" s="4">
        <v>0.33009500000000003</v>
      </c>
      <c r="H35" s="5" t="s">
        <v>0</v>
      </c>
      <c r="I35" s="5">
        <v>1</v>
      </c>
      <c r="J35" s="5">
        <v>0.64874999999999994</v>
      </c>
      <c r="K35" s="5">
        <v>0.98065000000000002</v>
      </c>
      <c r="L35" s="5">
        <v>0.33009500000000003</v>
      </c>
      <c r="O35" t="str">
        <f t="shared" si="7"/>
        <v>H</v>
      </c>
      <c r="P35">
        <f t="shared" si="8"/>
        <v>0</v>
      </c>
      <c r="Q35">
        <f t="shared" si="9"/>
        <v>0.64874999999999994</v>
      </c>
      <c r="R35">
        <f t="shared" si="10"/>
        <v>0.48065000000000002</v>
      </c>
      <c r="S35">
        <f t="shared" si="11"/>
        <v>0.19530500000000001</v>
      </c>
      <c r="T35" t="s">
        <v>13</v>
      </c>
      <c r="U35">
        <v>3.0000000000000001E-3</v>
      </c>
      <c r="V35" t="s">
        <v>0</v>
      </c>
    </row>
    <row r="36" spans="2:22">
      <c r="B36" s="4" t="s">
        <v>0</v>
      </c>
      <c r="C36" s="4">
        <v>0</v>
      </c>
      <c r="D36" s="4">
        <v>0.14874999999999999</v>
      </c>
      <c r="E36" s="4">
        <v>0.98065000000000002</v>
      </c>
      <c r="F36" s="4">
        <v>0.19530500000000001</v>
      </c>
      <c r="H36" s="5" t="s">
        <v>0</v>
      </c>
      <c r="I36" s="5">
        <v>0</v>
      </c>
      <c r="J36" s="5">
        <v>0.64874999999999994</v>
      </c>
      <c r="K36" s="5">
        <v>0.98065000000000002</v>
      </c>
      <c r="L36" s="5">
        <v>0.19530500000000001</v>
      </c>
      <c r="O36" t="str">
        <f t="shared" si="7"/>
        <v>H</v>
      </c>
      <c r="P36">
        <f t="shared" si="8"/>
        <v>1</v>
      </c>
      <c r="Q36">
        <f t="shared" si="9"/>
        <v>0.64874999999999994</v>
      </c>
      <c r="R36">
        <f t="shared" si="10"/>
        <v>0.23064999999999999</v>
      </c>
      <c r="S36">
        <f t="shared" si="11"/>
        <v>0.33009500000000003</v>
      </c>
      <c r="T36" t="s">
        <v>13</v>
      </c>
      <c r="U36">
        <v>3.0000000000000001E-3</v>
      </c>
      <c r="V36" t="s">
        <v>0</v>
      </c>
    </row>
    <row r="37" spans="2:22">
      <c r="B37" s="4" t="s">
        <v>0</v>
      </c>
      <c r="C37" s="4">
        <v>1</v>
      </c>
      <c r="D37" s="4">
        <v>0.14874999999999999</v>
      </c>
      <c r="E37" s="4">
        <v>0.73065000000000002</v>
      </c>
      <c r="F37" s="4">
        <v>0.33009500000000003</v>
      </c>
      <c r="H37" s="5" t="s">
        <v>0</v>
      </c>
      <c r="I37" s="5">
        <v>1</v>
      </c>
      <c r="J37" s="5">
        <v>0.64874999999999994</v>
      </c>
      <c r="K37" s="5">
        <v>0.73065000000000002</v>
      </c>
      <c r="L37" s="5">
        <v>0.33009500000000003</v>
      </c>
      <c r="O37" t="str">
        <f t="shared" si="7"/>
        <v>H</v>
      </c>
      <c r="P37">
        <f t="shared" si="8"/>
        <v>0</v>
      </c>
      <c r="Q37">
        <f t="shared" si="9"/>
        <v>0.64874999999999994</v>
      </c>
      <c r="R37">
        <f t="shared" si="10"/>
        <v>0.23064999999999999</v>
      </c>
      <c r="S37">
        <f t="shared" si="11"/>
        <v>0.19530500000000001</v>
      </c>
      <c r="T37" t="s">
        <v>13</v>
      </c>
      <c r="U37">
        <v>3.0000000000000001E-3</v>
      </c>
      <c r="V37" t="s">
        <v>0</v>
      </c>
    </row>
    <row r="38" spans="2:22">
      <c r="B38" s="4" t="s">
        <v>0</v>
      </c>
      <c r="C38" s="4">
        <v>0</v>
      </c>
      <c r="D38" s="4">
        <v>0.14874999999999999</v>
      </c>
      <c r="E38" s="4">
        <v>0.73065000000000002</v>
      </c>
      <c r="F38" s="4">
        <v>0.19530500000000001</v>
      </c>
      <c r="H38" s="5" t="s">
        <v>0</v>
      </c>
      <c r="I38" s="5">
        <v>0</v>
      </c>
      <c r="J38" s="5">
        <v>0.64874999999999994</v>
      </c>
      <c r="K38" s="5">
        <v>0.73065000000000002</v>
      </c>
      <c r="L38" s="5">
        <v>0.19530500000000001</v>
      </c>
      <c r="O38" t="str">
        <f t="shared" si="7"/>
        <v>O</v>
      </c>
      <c r="P38">
        <f t="shared" si="8"/>
        <v>1</v>
      </c>
      <c r="Q38">
        <f t="shared" si="9"/>
        <v>0.89749999999999996</v>
      </c>
      <c r="R38">
        <f t="shared" si="10"/>
        <v>0.35249999999999998</v>
      </c>
      <c r="S38">
        <f t="shared" si="11"/>
        <v>0.27280100000000002</v>
      </c>
      <c r="T38" t="s">
        <v>13</v>
      </c>
      <c r="U38">
        <v>1.2999999999999999E-2</v>
      </c>
      <c r="V38" t="s">
        <v>1</v>
      </c>
    </row>
    <row r="39" spans="2:22">
      <c r="B39" s="4" t="s">
        <v>1</v>
      </c>
      <c r="C39" s="4">
        <v>1</v>
      </c>
      <c r="D39" s="4">
        <v>0.40561849999999999</v>
      </c>
      <c r="E39" s="4">
        <v>0.85732249999999999</v>
      </c>
      <c r="F39" s="4">
        <v>0.27280100000000002</v>
      </c>
      <c r="H39" s="5" t="s">
        <v>1</v>
      </c>
      <c r="I39" s="5">
        <v>1</v>
      </c>
      <c r="J39" s="5">
        <v>0.88265450000000001</v>
      </c>
      <c r="K39" s="5">
        <v>0.87058049999999998</v>
      </c>
      <c r="L39" s="5">
        <v>0.27280100000000002</v>
      </c>
      <c r="O39" t="str">
        <f t="shared" si="7"/>
        <v>O</v>
      </c>
      <c r="P39">
        <f t="shared" si="8"/>
        <v>1</v>
      </c>
      <c r="Q39">
        <f t="shared" si="9"/>
        <v>0.89749999999999996</v>
      </c>
      <c r="R39">
        <f t="shared" si="10"/>
        <v>0.10249999999999999</v>
      </c>
      <c r="S39">
        <f t="shared" si="11"/>
        <v>0.72692500000000004</v>
      </c>
      <c r="T39" t="s">
        <v>13</v>
      </c>
      <c r="U39">
        <v>1.2999999999999999E-2</v>
      </c>
      <c r="V39" t="s">
        <v>1</v>
      </c>
    </row>
    <row r="40" spans="2:22">
      <c r="B40" s="4" t="s">
        <v>1</v>
      </c>
      <c r="C40" s="4">
        <v>1</v>
      </c>
      <c r="D40" s="4">
        <v>0.40561849999999999</v>
      </c>
      <c r="E40" s="4">
        <v>0.60732249999999999</v>
      </c>
      <c r="F40" s="4">
        <v>0.72692500000000004</v>
      </c>
      <c r="H40" s="5" t="s">
        <v>1</v>
      </c>
      <c r="I40" s="5">
        <v>1</v>
      </c>
      <c r="J40" s="5">
        <v>0.88265450000000001</v>
      </c>
      <c r="K40" s="5">
        <v>0.62058049999999998</v>
      </c>
      <c r="L40" s="5">
        <v>0.72692500000000004</v>
      </c>
      <c r="O40" t="str">
        <f t="shared" si="7"/>
        <v>O</v>
      </c>
      <c r="P40">
        <f t="shared" si="8"/>
        <v>1</v>
      </c>
      <c r="Q40">
        <f t="shared" si="9"/>
        <v>0.85250000000000004</v>
      </c>
      <c r="R40">
        <f t="shared" si="10"/>
        <v>0.39750000000000002</v>
      </c>
      <c r="S40">
        <f t="shared" si="11"/>
        <v>0.77293800000000001</v>
      </c>
      <c r="T40" t="s">
        <v>13</v>
      </c>
      <c r="U40">
        <v>1.2999999999999999E-2</v>
      </c>
      <c r="V40" t="s">
        <v>1</v>
      </c>
    </row>
    <row r="41" spans="2:22">
      <c r="B41" s="4" t="s">
        <v>1</v>
      </c>
      <c r="C41" s="4">
        <v>1</v>
      </c>
      <c r="D41" s="4">
        <v>0.34438150000000001</v>
      </c>
      <c r="E41" s="4">
        <v>0.89267750000000001</v>
      </c>
      <c r="F41" s="4">
        <v>0.77293800000000001</v>
      </c>
      <c r="H41" s="5" t="s">
        <v>1</v>
      </c>
      <c r="I41" s="5">
        <v>1</v>
      </c>
      <c r="J41" s="5">
        <v>0.86734549999999999</v>
      </c>
      <c r="K41" s="5">
        <v>0.87941950000000002</v>
      </c>
      <c r="L41" s="5">
        <v>0.77293800000000001</v>
      </c>
      <c r="O41" t="str">
        <f t="shared" si="7"/>
        <v>O</v>
      </c>
      <c r="P41">
        <f t="shared" si="8"/>
        <v>1</v>
      </c>
      <c r="Q41">
        <f t="shared" si="9"/>
        <v>0.85250000000000004</v>
      </c>
      <c r="R41">
        <f t="shared" si="10"/>
        <v>0.14749999999999999</v>
      </c>
      <c r="S41">
        <f t="shared" si="11"/>
        <v>0.22678799999999999</v>
      </c>
      <c r="T41" t="s">
        <v>13</v>
      </c>
      <c r="U41">
        <v>1.2999999999999999E-2</v>
      </c>
      <c r="V41" t="s">
        <v>1</v>
      </c>
    </row>
    <row r="42" spans="2:22">
      <c r="B42" s="4" t="s">
        <v>1</v>
      </c>
      <c r="C42" s="4">
        <v>1</v>
      </c>
      <c r="D42" s="4">
        <v>0.34438150000000001</v>
      </c>
      <c r="E42" s="4">
        <v>0.64267750000000001</v>
      </c>
      <c r="F42" s="4">
        <v>0.22678799999999999</v>
      </c>
      <c r="H42" s="5" t="s">
        <v>1</v>
      </c>
      <c r="I42" s="5">
        <v>1</v>
      </c>
      <c r="J42" s="5">
        <v>0.86734549999999999</v>
      </c>
      <c r="K42" s="5">
        <v>0.62941950000000002</v>
      </c>
      <c r="L42" s="5">
        <v>0.22678799999999999</v>
      </c>
      <c r="O42" t="str">
        <f t="shared" si="7"/>
        <v>O</v>
      </c>
      <c r="P42">
        <f t="shared" si="8"/>
        <v>1</v>
      </c>
      <c r="Q42">
        <f t="shared" si="9"/>
        <v>0.75</v>
      </c>
      <c r="R42">
        <f t="shared" si="10"/>
        <v>0.25</v>
      </c>
      <c r="S42">
        <f t="shared" si="11"/>
        <v>0.545875</v>
      </c>
      <c r="T42" t="s">
        <v>13</v>
      </c>
      <c r="U42">
        <v>1.2999999999999999E-2</v>
      </c>
      <c r="V42" t="s">
        <v>1</v>
      </c>
    </row>
    <row r="43" spans="2:22">
      <c r="B43" s="4" t="s">
        <v>1</v>
      </c>
      <c r="C43" s="4">
        <v>1</v>
      </c>
      <c r="D43" s="4">
        <v>0.25</v>
      </c>
      <c r="E43" s="4">
        <v>0.75</v>
      </c>
      <c r="F43" s="4">
        <v>0.545875</v>
      </c>
      <c r="H43" s="5" t="s">
        <v>1</v>
      </c>
      <c r="I43" s="5">
        <v>1</v>
      </c>
      <c r="J43" s="5">
        <v>0.75</v>
      </c>
      <c r="K43" s="5">
        <v>0.75</v>
      </c>
      <c r="L43" s="5">
        <v>0.545875</v>
      </c>
      <c r="O43" t="str">
        <f t="shared" si="7"/>
        <v>O</v>
      </c>
      <c r="P43">
        <f t="shared" si="8"/>
        <v>1</v>
      </c>
      <c r="Q43">
        <f t="shared" si="9"/>
        <v>0.75</v>
      </c>
      <c r="R43">
        <f t="shared" si="10"/>
        <v>0</v>
      </c>
      <c r="S43">
        <f t="shared" si="11"/>
        <v>0.45384999999999998</v>
      </c>
      <c r="T43" t="s">
        <v>13</v>
      </c>
      <c r="U43">
        <v>1.2999999999999999E-2</v>
      </c>
      <c r="V43" t="s">
        <v>1</v>
      </c>
    </row>
    <row r="44" spans="2:22">
      <c r="B44" s="4" t="s">
        <v>1</v>
      </c>
      <c r="C44" s="4">
        <v>1</v>
      </c>
      <c r="D44" s="4">
        <v>0.25</v>
      </c>
      <c r="E44" s="4">
        <v>0.5</v>
      </c>
      <c r="F44" s="4">
        <v>0.45384999999999998</v>
      </c>
      <c r="H44" s="5" t="s">
        <v>1</v>
      </c>
      <c r="I44" s="5">
        <v>1</v>
      </c>
      <c r="J44" s="5">
        <v>0.75</v>
      </c>
      <c r="K44" s="5">
        <v>0.5</v>
      </c>
      <c r="L44" s="5">
        <v>0.45384999999999998</v>
      </c>
      <c r="O44" t="str">
        <f t="shared" si="7"/>
        <v>O</v>
      </c>
      <c r="P44">
        <f t="shared" si="8"/>
        <v>1</v>
      </c>
      <c r="Q44">
        <f t="shared" si="9"/>
        <v>0.64749999999999996</v>
      </c>
      <c r="R44">
        <f t="shared" si="10"/>
        <v>0.35249999999999998</v>
      </c>
      <c r="S44">
        <f t="shared" si="11"/>
        <v>0.22678799999999999</v>
      </c>
      <c r="T44" t="s">
        <v>13</v>
      </c>
      <c r="U44">
        <v>1.2999999999999999E-2</v>
      </c>
      <c r="V44" t="s">
        <v>1</v>
      </c>
    </row>
    <row r="45" spans="2:22">
      <c r="B45" s="4" t="s">
        <v>1</v>
      </c>
      <c r="C45" s="4">
        <v>1</v>
      </c>
      <c r="D45" s="4">
        <v>0.15561849999999999</v>
      </c>
      <c r="E45" s="4">
        <v>0.85732249999999999</v>
      </c>
      <c r="F45" s="4">
        <v>0.22678799999999999</v>
      </c>
      <c r="H45" s="5" t="s">
        <v>1</v>
      </c>
      <c r="I45" s="5">
        <v>1</v>
      </c>
      <c r="J45" s="5">
        <v>0.63265450000000001</v>
      </c>
      <c r="K45" s="5">
        <v>0.87058049999999998</v>
      </c>
      <c r="L45" s="5">
        <v>0.22678799999999999</v>
      </c>
      <c r="O45" t="str">
        <f t="shared" si="7"/>
        <v>O</v>
      </c>
      <c r="P45">
        <f t="shared" si="8"/>
        <v>1</v>
      </c>
      <c r="Q45">
        <f t="shared" si="9"/>
        <v>0.64749999999999996</v>
      </c>
      <c r="R45">
        <f t="shared" si="10"/>
        <v>0.10249999999999999</v>
      </c>
      <c r="S45">
        <f t="shared" si="11"/>
        <v>0.77293800000000001</v>
      </c>
      <c r="T45" t="s">
        <v>13</v>
      </c>
      <c r="U45">
        <v>1.2999999999999999E-2</v>
      </c>
      <c r="V45" t="s">
        <v>1</v>
      </c>
    </row>
    <row r="46" spans="2:22">
      <c r="B46" s="4" t="s">
        <v>1</v>
      </c>
      <c r="C46" s="4">
        <v>1</v>
      </c>
      <c r="D46" s="4">
        <v>0.15561849999999999</v>
      </c>
      <c r="E46" s="4">
        <v>0.60732249999999999</v>
      </c>
      <c r="F46" s="4">
        <v>0.77293800000000001</v>
      </c>
      <c r="H46" s="5" t="s">
        <v>1</v>
      </c>
      <c r="I46" s="5">
        <v>1</v>
      </c>
      <c r="J46" s="5">
        <v>0.63265450000000001</v>
      </c>
      <c r="K46" s="5">
        <v>0.62058049999999998</v>
      </c>
      <c r="L46" s="5">
        <v>0.77293800000000001</v>
      </c>
      <c r="O46" t="str">
        <f t="shared" si="7"/>
        <v>O</v>
      </c>
      <c r="P46">
        <f t="shared" si="8"/>
        <v>1</v>
      </c>
      <c r="Q46">
        <f t="shared" si="9"/>
        <v>0.60250000000000004</v>
      </c>
      <c r="R46">
        <f t="shared" si="10"/>
        <v>0.39750000000000002</v>
      </c>
      <c r="S46">
        <f t="shared" si="11"/>
        <v>0.72692500000000004</v>
      </c>
      <c r="T46" t="s">
        <v>13</v>
      </c>
      <c r="U46">
        <v>1.2999999999999999E-2</v>
      </c>
      <c r="V46" t="s">
        <v>1</v>
      </c>
    </row>
    <row r="47" spans="2:22">
      <c r="B47" s="4" t="s">
        <v>1</v>
      </c>
      <c r="C47" s="4">
        <v>1</v>
      </c>
      <c r="D47" s="4">
        <v>9.4381499999999993E-2</v>
      </c>
      <c r="E47" s="4">
        <v>0.89267750000000001</v>
      </c>
      <c r="F47" s="4">
        <v>0.72692500000000004</v>
      </c>
      <c r="H47" s="5" t="s">
        <v>1</v>
      </c>
      <c r="I47" s="5">
        <v>1</v>
      </c>
      <c r="J47" s="5">
        <v>0.61734549999999999</v>
      </c>
      <c r="K47" s="5">
        <v>0.87941950000000002</v>
      </c>
      <c r="L47" s="5">
        <v>0.72692500000000004</v>
      </c>
      <c r="O47" t="str">
        <f t="shared" si="7"/>
        <v>O</v>
      </c>
      <c r="P47">
        <f t="shared" si="8"/>
        <v>1</v>
      </c>
      <c r="Q47">
        <f t="shared" si="9"/>
        <v>0.60250000000000004</v>
      </c>
      <c r="R47">
        <f t="shared" si="10"/>
        <v>0.14749999999999999</v>
      </c>
      <c r="S47">
        <f t="shared" si="11"/>
        <v>0.27279999999999999</v>
      </c>
      <c r="T47" t="s">
        <v>13</v>
      </c>
      <c r="U47">
        <v>1.2999999999999999E-2</v>
      </c>
      <c r="V47" t="s">
        <v>1</v>
      </c>
    </row>
    <row r="48" spans="2:22">
      <c r="B48" s="4" t="s">
        <v>1</v>
      </c>
      <c r="C48" s="4">
        <v>1</v>
      </c>
      <c r="D48" s="4">
        <v>9.4381499999999993E-2</v>
      </c>
      <c r="E48" s="4">
        <v>0.64267750000000001</v>
      </c>
      <c r="F48" s="4">
        <v>0.27279999999999999</v>
      </c>
      <c r="H48" s="5" t="s">
        <v>1</v>
      </c>
      <c r="I48" s="5">
        <v>1</v>
      </c>
      <c r="J48" s="5">
        <v>0.61734549999999999</v>
      </c>
      <c r="K48" s="5">
        <v>0.62941950000000002</v>
      </c>
      <c r="L48" s="5">
        <v>0.27279999999999999</v>
      </c>
      <c r="O48" t="str">
        <f t="shared" si="7"/>
        <v>O</v>
      </c>
      <c r="P48">
        <f t="shared" si="8"/>
        <v>1</v>
      </c>
      <c r="Q48">
        <f t="shared" si="9"/>
        <v>0.5</v>
      </c>
      <c r="R48">
        <f t="shared" si="10"/>
        <v>0.25</v>
      </c>
      <c r="S48">
        <f t="shared" si="11"/>
        <v>0.95398700000000003</v>
      </c>
      <c r="T48" t="s">
        <v>13</v>
      </c>
      <c r="U48">
        <v>1.2999999999999999E-2</v>
      </c>
      <c r="V48" t="s">
        <v>1</v>
      </c>
    </row>
    <row r="49" spans="2:22">
      <c r="B49" s="4" t="s">
        <v>1</v>
      </c>
      <c r="C49" s="4">
        <v>1</v>
      </c>
      <c r="D49" s="4">
        <v>0</v>
      </c>
      <c r="E49" s="4">
        <v>0.75</v>
      </c>
      <c r="F49" s="4">
        <v>0.95398700000000003</v>
      </c>
      <c r="H49" s="5" t="s">
        <v>1</v>
      </c>
      <c r="I49" s="5">
        <v>1</v>
      </c>
      <c r="J49" s="5">
        <v>0.5</v>
      </c>
      <c r="K49" s="5">
        <v>0.75</v>
      </c>
      <c r="L49" s="5">
        <v>0.95398700000000003</v>
      </c>
      <c r="O49" t="str">
        <f t="shared" si="7"/>
        <v>O</v>
      </c>
      <c r="P49">
        <f t="shared" si="8"/>
        <v>1</v>
      </c>
      <c r="Q49">
        <f t="shared" si="9"/>
        <v>0.5</v>
      </c>
      <c r="R49">
        <f t="shared" si="10"/>
        <v>0</v>
      </c>
      <c r="S49">
        <f t="shared" si="11"/>
        <v>4.5738000000000001E-2</v>
      </c>
      <c r="T49" t="s">
        <v>13</v>
      </c>
      <c r="U49">
        <v>1.2999999999999999E-2</v>
      </c>
      <c r="V49" t="s">
        <v>1</v>
      </c>
    </row>
    <row r="50" spans="2:22">
      <c r="B50" s="4" t="s">
        <v>1</v>
      </c>
      <c r="C50" s="4">
        <v>1</v>
      </c>
      <c r="D50" s="4">
        <v>0</v>
      </c>
      <c r="E50" s="4">
        <v>0.5</v>
      </c>
      <c r="F50" s="4">
        <v>4.5738000000000001E-2</v>
      </c>
      <c r="H50" s="5" t="s">
        <v>1</v>
      </c>
      <c r="I50" s="5">
        <v>1</v>
      </c>
      <c r="J50" s="5">
        <v>0.5</v>
      </c>
      <c r="K50" s="5">
        <v>0.5</v>
      </c>
      <c r="L50" s="5">
        <v>4.5738000000000001E-2</v>
      </c>
      <c r="O50" t="str">
        <f t="shared" si="7"/>
        <v>Sr</v>
      </c>
      <c r="P50">
        <f t="shared" si="8"/>
        <v>1</v>
      </c>
      <c r="Q50">
        <f t="shared" si="9"/>
        <v>0.75</v>
      </c>
      <c r="R50">
        <f t="shared" si="10"/>
        <v>0.25</v>
      </c>
      <c r="S50">
        <f t="shared" si="11"/>
        <v>0</v>
      </c>
      <c r="T50" t="s">
        <v>13</v>
      </c>
      <c r="U50">
        <v>4.7999999999999996E-3</v>
      </c>
      <c r="V50" t="s">
        <v>2</v>
      </c>
    </row>
    <row r="51" spans="2:22">
      <c r="B51" s="4" t="s">
        <v>2</v>
      </c>
      <c r="C51" s="4">
        <v>1</v>
      </c>
      <c r="D51" s="4">
        <v>0.25</v>
      </c>
      <c r="E51" s="4">
        <v>0.75</v>
      </c>
      <c r="F51" s="4">
        <v>0</v>
      </c>
      <c r="H51" s="5" t="s">
        <v>2</v>
      </c>
      <c r="I51" s="5">
        <v>1</v>
      </c>
      <c r="J51" s="5">
        <v>0.75</v>
      </c>
      <c r="K51" s="5">
        <v>0.75</v>
      </c>
      <c r="L51" s="5">
        <v>0</v>
      </c>
      <c r="O51" t="str">
        <f t="shared" si="7"/>
        <v>Sr</v>
      </c>
      <c r="P51">
        <f t="shared" si="8"/>
        <v>1</v>
      </c>
      <c r="Q51">
        <f t="shared" si="9"/>
        <v>0.75</v>
      </c>
      <c r="R51">
        <f t="shared" si="10"/>
        <v>0</v>
      </c>
      <c r="S51">
        <f t="shared" si="11"/>
        <v>0</v>
      </c>
      <c r="T51" t="s">
        <v>13</v>
      </c>
      <c r="U51">
        <v>4.7999999999999996E-3</v>
      </c>
      <c r="V51" t="s">
        <v>2</v>
      </c>
    </row>
    <row r="52" spans="2:22">
      <c r="B52" s="4" t="s">
        <v>2</v>
      </c>
      <c r="C52" s="4">
        <v>1</v>
      </c>
      <c r="D52" s="4">
        <v>0.25</v>
      </c>
      <c r="E52" s="4">
        <v>0.5</v>
      </c>
      <c r="F52" s="4">
        <v>0</v>
      </c>
      <c r="H52" s="5" t="s">
        <v>2</v>
      </c>
      <c r="I52" s="5">
        <v>1</v>
      </c>
      <c r="J52" s="5">
        <v>0.75</v>
      </c>
      <c r="K52" s="5">
        <v>0.5</v>
      </c>
      <c r="L52" s="5">
        <v>0</v>
      </c>
      <c r="O52" t="str">
        <f t="shared" si="7"/>
        <v>Sr</v>
      </c>
      <c r="P52">
        <f t="shared" si="8"/>
        <v>1</v>
      </c>
      <c r="Q52">
        <f t="shared" si="9"/>
        <v>0.5</v>
      </c>
      <c r="R52">
        <f t="shared" si="10"/>
        <v>0.25</v>
      </c>
      <c r="S52">
        <f t="shared" si="11"/>
        <v>0.499863</v>
      </c>
      <c r="T52" t="s">
        <v>13</v>
      </c>
      <c r="U52">
        <v>4.7999999999999996E-3</v>
      </c>
      <c r="V52" t="s">
        <v>2</v>
      </c>
    </row>
    <row r="53" spans="2:22">
      <c r="B53" s="4" t="s">
        <v>2</v>
      </c>
      <c r="C53" s="4">
        <v>1</v>
      </c>
      <c r="D53" s="4">
        <v>0</v>
      </c>
      <c r="E53" s="4">
        <v>0.75</v>
      </c>
      <c r="F53" s="4">
        <v>0.499863</v>
      </c>
      <c r="H53" s="5" t="s">
        <v>2</v>
      </c>
      <c r="I53" s="5">
        <v>1</v>
      </c>
      <c r="J53" s="5">
        <v>0.5</v>
      </c>
      <c r="K53" s="5">
        <v>0.75</v>
      </c>
      <c r="L53" s="5">
        <v>0.499863</v>
      </c>
      <c r="O53" t="str">
        <f t="shared" si="7"/>
        <v>Sr</v>
      </c>
      <c r="P53">
        <f t="shared" si="8"/>
        <v>1</v>
      </c>
      <c r="Q53">
        <f t="shared" si="9"/>
        <v>0.5</v>
      </c>
      <c r="R53">
        <f t="shared" si="10"/>
        <v>0</v>
      </c>
      <c r="S53">
        <f t="shared" si="11"/>
        <v>0.499863</v>
      </c>
      <c r="T53" t="s">
        <v>13</v>
      </c>
      <c r="U53">
        <v>4.7999999999999996E-3</v>
      </c>
      <c r="V53" t="s">
        <v>2</v>
      </c>
    </row>
    <row r="54" spans="2:22">
      <c r="B54" s="4" t="s">
        <v>2</v>
      </c>
      <c r="C54" s="4">
        <v>1</v>
      </c>
      <c r="D54" s="4">
        <v>0</v>
      </c>
      <c r="E54" s="4">
        <v>0.5</v>
      </c>
      <c r="F54" s="4">
        <v>0.499863</v>
      </c>
      <c r="H54" s="5" t="s">
        <v>2</v>
      </c>
      <c r="I54" s="5">
        <v>1</v>
      </c>
      <c r="J54" s="5">
        <v>0.5</v>
      </c>
      <c r="K54" s="5">
        <v>0.5</v>
      </c>
      <c r="L54" s="5">
        <v>0.499863</v>
      </c>
      <c r="O54" t="str">
        <f t="shared" si="7"/>
        <v>Ti</v>
      </c>
      <c r="P54">
        <f t="shared" si="8"/>
        <v>1</v>
      </c>
      <c r="Q54">
        <f t="shared" si="9"/>
        <v>0.75</v>
      </c>
      <c r="R54">
        <f t="shared" si="10"/>
        <v>0.375</v>
      </c>
      <c r="S54">
        <f t="shared" si="11"/>
        <v>0.499863</v>
      </c>
      <c r="T54" t="s">
        <v>13</v>
      </c>
      <c r="U54">
        <v>4.0000000000000001E-3</v>
      </c>
      <c r="V54" t="s">
        <v>3</v>
      </c>
    </row>
    <row r="55" spans="2:22">
      <c r="B55" s="4" t="s">
        <v>3</v>
      </c>
      <c r="C55" s="4">
        <v>1</v>
      </c>
      <c r="D55" s="4">
        <v>0.25</v>
      </c>
      <c r="E55" s="4">
        <v>0.875</v>
      </c>
      <c r="F55" s="4">
        <v>0.499863</v>
      </c>
      <c r="H55" s="5" t="s">
        <v>3</v>
      </c>
      <c r="I55" s="5">
        <v>1</v>
      </c>
      <c r="J55" s="5">
        <v>0.75</v>
      </c>
      <c r="K55" s="5">
        <v>0.875</v>
      </c>
      <c r="L55" s="5">
        <v>0.499863</v>
      </c>
      <c r="O55" t="str">
        <f t="shared" si="7"/>
        <v>Ti</v>
      </c>
      <c r="P55">
        <f t="shared" si="8"/>
        <v>1</v>
      </c>
      <c r="Q55">
        <f t="shared" si="9"/>
        <v>0.75</v>
      </c>
      <c r="R55">
        <f t="shared" si="10"/>
        <v>0.125</v>
      </c>
      <c r="S55">
        <f t="shared" si="11"/>
        <v>0.499863</v>
      </c>
      <c r="T55" t="s">
        <v>13</v>
      </c>
      <c r="U55">
        <v>4.0000000000000001E-3</v>
      </c>
      <c r="V55" t="s">
        <v>3</v>
      </c>
    </row>
    <row r="56" spans="2:22">
      <c r="B56" s="4" t="s">
        <v>3</v>
      </c>
      <c r="C56" s="4">
        <v>1</v>
      </c>
      <c r="D56" s="4">
        <v>0.25</v>
      </c>
      <c r="E56" s="4">
        <v>0.625</v>
      </c>
      <c r="F56" s="4">
        <v>0.499863</v>
      </c>
      <c r="H56" s="5" t="s">
        <v>3</v>
      </c>
      <c r="I56" s="5">
        <v>1</v>
      </c>
      <c r="J56" s="5">
        <v>0.75</v>
      </c>
      <c r="K56" s="5">
        <v>0.625</v>
      </c>
      <c r="L56" s="5">
        <v>0.499863</v>
      </c>
      <c r="O56" t="str">
        <f t="shared" si="7"/>
        <v>Ti</v>
      </c>
      <c r="P56">
        <f t="shared" si="8"/>
        <v>1</v>
      </c>
      <c r="Q56">
        <f t="shared" si="9"/>
        <v>0.5</v>
      </c>
      <c r="R56">
        <f t="shared" si="10"/>
        <v>0.375</v>
      </c>
      <c r="S56">
        <f t="shared" si="11"/>
        <v>0</v>
      </c>
      <c r="T56" t="s">
        <v>13</v>
      </c>
      <c r="U56">
        <v>4.0000000000000001E-3</v>
      </c>
      <c r="V56" t="s">
        <v>3</v>
      </c>
    </row>
    <row r="57" spans="2:22">
      <c r="B57" s="4" t="s">
        <v>3</v>
      </c>
      <c r="C57" s="4">
        <v>1</v>
      </c>
      <c r="D57" s="4">
        <v>0</v>
      </c>
      <c r="E57" s="4">
        <v>0.875</v>
      </c>
      <c r="F57" s="4">
        <v>0</v>
      </c>
      <c r="H57" s="5" t="s">
        <v>3</v>
      </c>
      <c r="I57" s="5">
        <v>1</v>
      </c>
      <c r="J57" s="5">
        <v>0.5</v>
      </c>
      <c r="K57" s="5">
        <v>0.875</v>
      </c>
      <c r="L57" s="5">
        <v>0</v>
      </c>
      <c r="O57" t="str">
        <f t="shared" si="7"/>
        <v>Ti</v>
      </c>
      <c r="P57">
        <f t="shared" si="8"/>
        <v>1</v>
      </c>
      <c r="Q57">
        <f t="shared" si="9"/>
        <v>0.5</v>
      </c>
      <c r="R57">
        <f t="shared" si="10"/>
        <v>0.125</v>
      </c>
      <c r="S57">
        <f t="shared" si="11"/>
        <v>0</v>
      </c>
      <c r="T57" t="s">
        <v>13</v>
      </c>
      <c r="U57">
        <v>4.0000000000000001E-3</v>
      </c>
      <c r="V57" t="s">
        <v>3</v>
      </c>
    </row>
    <row r="58" spans="2:22">
      <c r="B58" s="4" t="s">
        <v>3</v>
      </c>
      <c r="C58" s="4">
        <v>1</v>
      </c>
      <c r="D58" s="4">
        <v>0</v>
      </c>
      <c r="E58" s="4">
        <v>0.625</v>
      </c>
      <c r="F58" s="4">
        <v>0</v>
      </c>
      <c r="H58" s="5" t="s">
        <v>3</v>
      </c>
      <c r="I58" s="5">
        <v>1</v>
      </c>
      <c r="J58" s="5">
        <v>0.5</v>
      </c>
      <c r="K58" s="5">
        <v>0.625</v>
      </c>
      <c r="L58" s="5">
        <v>0</v>
      </c>
      <c r="O58" t="s">
        <v>0</v>
      </c>
      <c r="P58">
        <v>1</v>
      </c>
      <c r="Q58">
        <v>0.39874999999999999</v>
      </c>
      <c r="R58">
        <v>0.98065000000000002</v>
      </c>
      <c r="S58">
        <v>0.83109500000000003</v>
      </c>
      <c r="T58" t="s">
        <v>13</v>
      </c>
      <c r="U58">
        <v>3.0000000000000001E-3</v>
      </c>
      <c r="V58" t="s">
        <v>0</v>
      </c>
    </row>
    <row r="59" spans="2:22">
      <c r="O59" t="s">
        <v>0</v>
      </c>
      <c r="P59">
        <v>0</v>
      </c>
      <c r="Q59">
        <v>0.39874999999999999</v>
      </c>
      <c r="R59">
        <v>0.98065000000000002</v>
      </c>
      <c r="S59">
        <v>0.69630499999999995</v>
      </c>
      <c r="T59" t="s">
        <v>13</v>
      </c>
      <c r="U59">
        <v>3.0000000000000001E-3</v>
      </c>
      <c r="V59" t="s">
        <v>0</v>
      </c>
    </row>
    <row r="60" spans="2:22">
      <c r="O60" t="s">
        <v>0</v>
      </c>
      <c r="P60">
        <v>1</v>
      </c>
      <c r="Q60">
        <v>0.39874999999999999</v>
      </c>
      <c r="R60">
        <v>0.73065000000000002</v>
      </c>
      <c r="S60">
        <v>0.83109500000000003</v>
      </c>
      <c r="T60" t="s">
        <v>13</v>
      </c>
      <c r="U60">
        <v>3.0000000000000001E-3</v>
      </c>
      <c r="V60" t="s">
        <v>0</v>
      </c>
    </row>
    <row r="61" spans="2:22">
      <c r="O61" t="s">
        <v>0</v>
      </c>
      <c r="P61">
        <v>0</v>
      </c>
      <c r="Q61">
        <v>0.39874999999999999</v>
      </c>
      <c r="R61">
        <v>0.73065000000000002</v>
      </c>
      <c r="S61">
        <v>0.69630499999999995</v>
      </c>
      <c r="T61" t="s">
        <v>13</v>
      </c>
      <c r="U61">
        <v>3.0000000000000001E-3</v>
      </c>
      <c r="V61" t="s">
        <v>0</v>
      </c>
    </row>
    <row r="62" spans="2:22">
      <c r="O62" t="s">
        <v>0</v>
      </c>
      <c r="P62">
        <v>1</v>
      </c>
      <c r="Q62">
        <v>0.14874999999999999</v>
      </c>
      <c r="R62">
        <v>0.98065000000000002</v>
      </c>
      <c r="S62">
        <v>0.33009500000000003</v>
      </c>
      <c r="T62" t="s">
        <v>13</v>
      </c>
      <c r="U62">
        <v>3.0000000000000001E-3</v>
      </c>
      <c r="V62" t="s">
        <v>0</v>
      </c>
    </row>
    <row r="63" spans="2:22">
      <c r="O63" t="s">
        <v>0</v>
      </c>
      <c r="P63">
        <v>0</v>
      </c>
      <c r="Q63">
        <v>0.14874999999999999</v>
      </c>
      <c r="R63">
        <v>0.98065000000000002</v>
      </c>
      <c r="S63">
        <v>0.19530500000000001</v>
      </c>
      <c r="T63" t="s">
        <v>13</v>
      </c>
      <c r="U63">
        <v>3.0000000000000001E-3</v>
      </c>
      <c r="V63" t="s">
        <v>0</v>
      </c>
    </row>
    <row r="64" spans="2:22">
      <c r="O64" t="s">
        <v>0</v>
      </c>
      <c r="P64">
        <v>1</v>
      </c>
      <c r="Q64">
        <v>0.14874999999999999</v>
      </c>
      <c r="R64">
        <v>0.73065000000000002</v>
      </c>
      <c r="S64">
        <v>0.33009500000000003</v>
      </c>
      <c r="T64" t="s">
        <v>13</v>
      </c>
      <c r="U64">
        <v>3.0000000000000001E-3</v>
      </c>
      <c r="V64" t="s">
        <v>0</v>
      </c>
    </row>
    <row r="65" spans="15:22">
      <c r="O65" t="s">
        <v>0</v>
      </c>
      <c r="P65">
        <v>0</v>
      </c>
      <c r="Q65">
        <v>0.14874999999999999</v>
      </c>
      <c r="R65">
        <v>0.73065000000000002</v>
      </c>
      <c r="S65">
        <v>0.19530500000000001</v>
      </c>
      <c r="T65" t="s">
        <v>13</v>
      </c>
      <c r="U65">
        <v>3.0000000000000001E-3</v>
      </c>
      <c r="V65" t="s">
        <v>0</v>
      </c>
    </row>
    <row r="66" spans="15:22">
      <c r="O66" t="s">
        <v>1</v>
      </c>
      <c r="P66">
        <v>1</v>
      </c>
      <c r="Q66">
        <v>0.40561849999999999</v>
      </c>
      <c r="R66">
        <v>0.85732249999999999</v>
      </c>
      <c r="S66">
        <v>0.27280100000000002</v>
      </c>
      <c r="T66" t="s">
        <v>13</v>
      </c>
      <c r="U66">
        <v>1.2999999999999999E-2</v>
      </c>
      <c r="V66" t="s">
        <v>1</v>
      </c>
    </row>
    <row r="67" spans="15:22">
      <c r="O67" t="s">
        <v>1</v>
      </c>
      <c r="P67">
        <v>1</v>
      </c>
      <c r="Q67">
        <v>0.40561849999999999</v>
      </c>
      <c r="R67">
        <v>0.60732249999999999</v>
      </c>
      <c r="S67">
        <v>0.72692500000000004</v>
      </c>
      <c r="T67" t="s">
        <v>13</v>
      </c>
      <c r="U67">
        <v>1.2999999999999999E-2</v>
      </c>
      <c r="V67" t="s">
        <v>1</v>
      </c>
    </row>
    <row r="68" spans="15:22">
      <c r="O68" t="s">
        <v>1</v>
      </c>
      <c r="P68">
        <v>1</v>
      </c>
      <c r="Q68">
        <v>0.34438150000000001</v>
      </c>
      <c r="R68">
        <v>0.89267750000000001</v>
      </c>
      <c r="S68">
        <v>0.77293800000000001</v>
      </c>
      <c r="T68" t="s">
        <v>13</v>
      </c>
      <c r="U68">
        <v>1.2999999999999999E-2</v>
      </c>
      <c r="V68" t="s">
        <v>1</v>
      </c>
    </row>
    <row r="69" spans="15:22">
      <c r="O69" t="s">
        <v>1</v>
      </c>
      <c r="P69">
        <v>1</v>
      </c>
      <c r="Q69">
        <v>0.34438150000000001</v>
      </c>
      <c r="R69">
        <v>0.64267750000000001</v>
      </c>
      <c r="S69">
        <v>0.22678799999999999</v>
      </c>
      <c r="T69" t="s">
        <v>13</v>
      </c>
      <c r="U69">
        <v>1.2999999999999999E-2</v>
      </c>
      <c r="V69" t="s">
        <v>1</v>
      </c>
    </row>
    <row r="70" spans="15:22">
      <c r="O70" t="s">
        <v>1</v>
      </c>
      <c r="P70">
        <v>1</v>
      </c>
      <c r="Q70">
        <v>0.25</v>
      </c>
      <c r="R70">
        <v>0.75</v>
      </c>
      <c r="S70">
        <v>0.545875</v>
      </c>
      <c r="T70" t="s">
        <v>13</v>
      </c>
      <c r="U70">
        <v>1.2999999999999999E-2</v>
      </c>
      <c r="V70" t="s">
        <v>1</v>
      </c>
    </row>
    <row r="71" spans="15:22">
      <c r="O71" t="s">
        <v>1</v>
      </c>
      <c r="P71">
        <v>1</v>
      </c>
      <c r="Q71">
        <v>0.25</v>
      </c>
      <c r="R71">
        <v>0.5</v>
      </c>
      <c r="S71">
        <v>0.45384999999999998</v>
      </c>
      <c r="T71" t="s">
        <v>13</v>
      </c>
      <c r="U71">
        <v>1.2999999999999999E-2</v>
      </c>
      <c r="V71" t="s">
        <v>1</v>
      </c>
    </row>
    <row r="72" spans="15:22">
      <c r="O72" t="s">
        <v>1</v>
      </c>
      <c r="P72">
        <v>1</v>
      </c>
      <c r="Q72">
        <v>0.15561849999999999</v>
      </c>
      <c r="R72">
        <v>0.85732249999999999</v>
      </c>
      <c r="S72">
        <v>0.22678799999999999</v>
      </c>
      <c r="T72" t="s">
        <v>13</v>
      </c>
      <c r="U72">
        <v>1.2999999999999999E-2</v>
      </c>
      <c r="V72" t="s">
        <v>1</v>
      </c>
    </row>
    <row r="73" spans="15:22">
      <c r="O73" t="s">
        <v>1</v>
      </c>
      <c r="P73">
        <v>1</v>
      </c>
      <c r="Q73">
        <v>0.15561849999999999</v>
      </c>
      <c r="R73">
        <v>0.60732249999999999</v>
      </c>
      <c r="S73">
        <v>0.77293800000000001</v>
      </c>
      <c r="T73" t="s">
        <v>13</v>
      </c>
      <c r="U73">
        <v>1.2999999999999999E-2</v>
      </c>
      <c r="V73" t="s">
        <v>1</v>
      </c>
    </row>
    <row r="74" spans="15:22">
      <c r="O74" t="s">
        <v>1</v>
      </c>
      <c r="P74">
        <v>1</v>
      </c>
      <c r="Q74">
        <v>9.4381499999999993E-2</v>
      </c>
      <c r="R74">
        <v>0.89267750000000001</v>
      </c>
      <c r="S74">
        <v>0.72692500000000004</v>
      </c>
      <c r="T74" t="s">
        <v>13</v>
      </c>
      <c r="U74">
        <v>1.2999999999999999E-2</v>
      </c>
      <c r="V74" t="s">
        <v>1</v>
      </c>
    </row>
    <row r="75" spans="15:22">
      <c r="O75" t="s">
        <v>1</v>
      </c>
      <c r="P75">
        <v>1</v>
      </c>
      <c r="Q75">
        <v>9.4381499999999993E-2</v>
      </c>
      <c r="R75">
        <v>0.64267750000000001</v>
      </c>
      <c r="S75">
        <v>0.27279999999999999</v>
      </c>
      <c r="T75" t="s">
        <v>13</v>
      </c>
      <c r="U75">
        <v>1.2999999999999999E-2</v>
      </c>
      <c r="V75" t="s">
        <v>1</v>
      </c>
    </row>
    <row r="76" spans="15:22">
      <c r="O76" t="s">
        <v>1</v>
      </c>
      <c r="P76">
        <v>1</v>
      </c>
      <c r="Q76">
        <v>0</v>
      </c>
      <c r="R76">
        <v>0.75</v>
      </c>
      <c r="S76">
        <v>0.95398700000000003</v>
      </c>
      <c r="T76" t="s">
        <v>13</v>
      </c>
      <c r="U76">
        <v>1.2999999999999999E-2</v>
      </c>
      <c r="V76" t="s">
        <v>1</v>
      </c>
    </row>
    <row r="77" spans="15:22">
      <c r="O77" t="s">
        <v>1</v>
      </c>
      <c r="P77">
        <v>1</v>
      </c>
      <c r="Q77">
        <v>0</v>
      </c>
      <c r="R77">
        <v>0.5</v>
      </c>
      <c r="S77">
        <v>4.5738000000000001E-2</v>
      </c>
      <c r="T77" t="s">
        <v>13</v>
      </c>
      <c r="U77">
        <v>1.2999999999999999E-2</v>
      </c>
      <c r="V77" t="s">
        <v>1</v>
      </c>
    </row>
    <row r="78" spans="15:22">
      <c r="O78" t="s">
        <v>2</v>
      </c>
      <c r="P78">
        <v>1</v>
      </c>
      <c r="Q78">
        <v>0.25</v>
      </c>
      <c r="R78">
        <v>0.75</v>
      </c>
      <c r="S78">
        <v>0</v>
      </c>
      <c r="T78" t="s">
        <v>13</v>
      </c>
      <c r="U78">
        <v>4.7999999999999996E-3</v>
      </c>
      <c r="V78" t="s">
        <v>2</v>
      </c>
    </row>
    <row r="79" spans="15:22">
      <c r="O79" t="s">
        <v>2</v>
      </c>
      <c r="P79">
        <v>1</v>
      </c>
      <c r="Q79">
        <v>0.25</v>
      </c>
      <c r="R79">
        <v>0.5</v>
      </c>
      <c r="S79">
        <v>0</v>
      </c>
      <c r="T79" t="s">
        <v>13</v>
      </c>
      <c r="U79">
        <v>4.7999999999999996E-3</v>
      </c>
      <c r="V79" t="s">
        <v>2</v>
      </c>
    </row>
    <row r="80" spans="15:22">
      <c r="O80" t="s">
        <v>2</v>
      </c>
      <c r="P80">
        <v>1</v>
      </c>
      <c r="Q80">
        <v>0</v>
      </c>
      <c r="R80">
        <v>0.75</v>
      </c>
      <c r="S80">
        <v>0.499863</v>
      </c>
      <c r="T80" t="s">
        <v>13</v>
      </c>
      <c r="U80">
        <v>4.7999999999999996E-3</v>
      </c>
      <c r="V80" t="s">
        <v>2</v>
      </c>
    </row>
    <row r="81" spans="15:22">
      <c r="O81" t="s">
        <v>2</v>
      </c>
      <c r="P81">
        <v>1</v>
      </c>
      <c r="Q81">
        <v>0</v>
      </c>
      <c r="R81">
        <v>0.5</v>
      </c>
      <c r="S81">
        <v>0.499863</v>
      </c>
      <c r="T81" t="s">
        <v>13</v>
      </c>
      <c r="U81">
        <v>4.7999999999999996E-3</v>
      </c>
      <c r="V81" t="s">
        <v>2</v>
      </c>
    </row>
    <row r="82" spans="15:22">
      <c r="O82" t="s">
        <v>3</v>
      </c>
      <c r="P82">
        <v>1</v>
      </c>
      <c r="Q82">
        <v>0.25</v>
      </c>
      <c r="R82">
        <v>0.875</v>
      </c>
      <c r="S82">
        <v>0.499863</v>
      </c>
      <c r="T82" t="s">
        <v>13</v>
      </c>
      <c r="U82">
        <v>4.0000000000000001E-3</v>
      </c>
      <c r="V82" t="s">
        <v>3</v>
      </c>
    </row>
    <row r="83" spans="15:22">
      <c r="O83" t="s">
        <v>3</v>
      </c>
      <c r="P83">
        <v>1</v>
      </c>
      <c r="Q83">
        <v>0.25</v>
      </c>
      <c r="R83">
        <v>0.625</v>
      </c>
      <c r="S83">
        <v>0.499863</v>
      </c>
      <c r="T83" t="s">
        <v>13</v>
      </c>
      <c r="U83">
        <v>4.0000000000000001E-3</v>
      </c>
      <c r="V83" t="s">
        <v>3</v>
      </c>
    </row>
    <row r="84" spans="15:22">
      <c r="O84" t="s">
        <v>3</v>
      </c>
      <c r="P84">
        <v>1</v>
      </c>
      <c r="Q84">
        <v>0</v>
      </c>
      <c r="R84">
        <v>0.875</v>
      </c>
      <c r="S84">
        <v>0</v>
      </c>
      <c r="T84" t="s">
        <v>13</v>
      </c>
      <c r="U84">
        <v>4.0000000000000001E-3</v>
      </c>
      <c r="V84" t="s">
        <v>3</v>
      </c>
    </row>
    <row r="85" spans="15:22">
      <c r="O85" t="s">
        <v>3</v>
      </c>
      <c r="P85">
        <v>1</v>
      </c>
      <c r="Q85">
        <v>0</v>
      </c>
      <c r="R85">
        <v>0.625</v>
      </c>
      <c r="S85">
        <v>0</v>
      </c>
      <c r="T85" t="s">
        <v>13</v>
      </c>
      <c r="U85">
        <v>4.0000000000000001E-3</v>
      </c>
      <c r="V85" t="s">
        <v>3</v>
      </c>
    </row>
    <row r="86" spans="15:22">
      <c r="O86" t="s">
        <v>0</v>
      </c>
      <c r="P86">
        <v>1</v>
      </c>
      <c r="Q86">
        <v>0.89874999999999994</v>
      </c>
      <c r="R86">
        <v>0.98065000000000002</v>
      </c>
      <c r="S86">
        <v>0.83109500000000003</v>
      </c>
      <c r="T86" t="s">
        <v>13</v>
      </c>
      <c r="U86">
        <v>3.0000000000000001E-3</v>
      </c>
      <c r="V86" t="s">
        <v>0</v>
      </c>
    </row>
    <row r="87" spans="15:22">
      <c r="O87" t="s">
        <v>0</v>
      </c>
      <c r="P87">
        <v>0</v>
      </c>
      <c r="Q87">
        <v>0.89874999999999994</v>
      </c>
      <c r="R87">
        <v>0.98065000000000002</v>
      </c>
      <c r="S87">
        <v>0.69630499999999995</v>
      </c>
      <c r="T87" t="s">
        <v>13</v>
      </c>
      <c r="U87">
        <v>3.0000000000000001E-3</v>
      </c>
      <c r="V87" t="s">
        <v>0</v>
      </c>
    </row>
    <row r="88" spans="15:22">
      <c r="O88" t="s">
        <v>0</v>
      </c>
      <c r="P88">
        <v>1</v>
      </c>
      <c r="Q88">
        <v>0.89874999999999994</v>
      </c>
      <c r="R88">
        <v>0.73065000000000002</v>
      </c>
      <c r="S88">
        <v>0.83109500000000003</v>
      </c>
      <c r="T88" t="s">
        <v>13</v>
      </c>
      <c r="U88">
        <v>3.0000000000000001E-3</v>
      </c>
      <c r="V88" t="s">
        <v>0</v>
      </c>
    </row>
    <row r="89" spans="15:22">
      <c r="O89" t="s">
        <v>0</v>
      </c>
      <c r="P89">
        <v>0</v>
      </c>
      <c r="Q89">
        <v>0.89874999999999994</v>
      </c>
      <c r="R89">
        <v>0.73065000000000002</v>
      </c>
      <c r="S89">
        <v>0.69630499999999995</v>
      </c>
      <c r="T89" t="s">
        <v>13</v>
      </c>
      <c r="U89">
        <v>3.0000000000000001E-3</v>
      </c>
      <c r="V89" t="s">
        <v>0</v>
      </c>
    </row>
    <row r="90" spans="15:22">
      <c r="O90" t="s">
        <v>0</v>
      </c>
      <c r="P90">
        <v>1</v>
      </c>
      <c r="Q90">
        <v>0.64874999999999994</v>
      </c>
      <c r="R90">
        <v>0.98065000000000002</v>
      </c>
      <c r="S90">
        <v>0.33009500000000003</v>
      </c>
      <c r="T90" t="s">
        <v>13</v>
      </c>
      <c r="U90">
        <v>3.0000000000000001E-3</v>
      </c>
      <c r="V90" t="s">
        <v>0</v>
      </c>
    </row>
    <row r="91" spans="15:22">
      <c r="O91" t="s">
        <v>0</v>
      </c>
      <c r="P91">
        <v>0</v>
      </c>
      <c r="Q91">
        <v>0.64874999999999994</v>
      </c>
      <c r="R91">
        <v>0.98065000000000002</v>
      </c>
      <c r="S91">
        <v>0.19530500000000001</v>
      </c>
      <c r="T91" t="s">
        <v>13</v>
      </c>
      <c r="U91">
        <v>3.0000000000000001E-3</v>
      </c>
      <c r="V91" t="s">
        <v>0</v>
      </c>
    </row>
    <row r="92" spans="15:22">
      <c r="O92" t="s">
        <v>0</v>
      </c>
      <c r="P92">
        <v>1</v>
      </c>
      <c r="Q92">
        <v>0.64874999999999994</v>
      </c>
      <c r="R92">
        <v>0.73065000000000002</v>
      </c>
      <c r="S92">
        <v>0.33009500000000003</v>
      </c>
      <c r="T92" t="s">
        <v>13</v>
      </c>
      <c r="U92">
        <v>3.0000000000000001E-3</v>
      </c>
      <c r="V92" t="s">
        <v>0</v>
      </c>
    </row>
    <row r="93" spans="15:22">
      <c r="O93" t="s">
        <v>0</v>
      </c>
      <c r="P93">
        <v>0</v>
      </c>
      <c r="Q93">
        <v>0.64874999999999994</v>
      </c>
      <c r="R93">
        <v>0.73065000000000002</v>
      </c>
      <c r="S93">
        <v>0.19530500000000001</v>
      </c>
      <c r="T93" t="s">
        <v>13</v>
      </c>
      <c r="U93">
        <v>3.0000000000000001E-3</v>
      </c>
      <c r="V93" t="s">
        <v>0</v>
      </c>
    </row>
    <row r="94" spans="15:22">
      <c r="O94" t="s">
        <v>1</v>
      </c>
      <c r="P94">
        <v>1</v>
      </c>
      <c r="Q94">
        <v>0.88265450000000001</v>
      </c>
      <c r="R94">
        <v>0.87058049999999998</v>
      </c>
      <c r="S94">
        <v>0.27280100000000002</v>
      </c>
      <c r="T94" t="s">
        <v>13</v>
      </c>
      <c r="U94">
        <v>1.2999999999999999E-2</v>
      </c>
      <c r="V94" t="s">
        <v>1</v>
      </c>
    </row>
    <row r="95" spans="15:22">
      <c r="O95" t="s">
        <v>1</v>
      </c>
      <c r="P95">
        <v>1</v>
      </c>
      <c r="Q95">
        <v>0.88265450000000001</v>
      </c>
      <c r="R95">
        <v>0.62058049999999998</v>
      </c>
      <c r="S95">
        <v>0.72692500000000004</v>
      </c>
      <c r="T95" t="s">
        <v>13</v>
      </c>
      <c r="U95">
        <v>1.2999999999999999E-2</v>
      </c>
      <c r="V95" t="s">
        <v>1</v>
      </c>
    </row>
    <row r="96" spans="15:22">
      <c r="O96" t="s">
        <v>1</v>
      </c>
      <c r="P96">
        <v>1</v>
      </c>
      <c r="Q96">
        <v>0.86734549999999999</v>
      </c>
      <c r="R96">
        <v>0.87941950000000002</v>
      </c>
      <c r="S96">
        <v>0.77293800000000001</v>
      </c>
      <c r="T96" t="s">
        <v>13</v>
      </c>
      <c r="U96">
        <v>1.2999999999999999E-2</v>
      </c>
      <c r="V96" t="s">
        <v>1</v>
      </c>
    </row>
    <row r="97" spans="15:22">
      <c r="O97" t="s">
        <v>1</v>
      </c>
      <c r="P97">
        <v>1</v>
      </c>
      <c r="Q97">
        <v>0.86734549999999999</v>
      </c>
      <c r="R97">
        <v>0.62941950000000002</v>
      </c>
      <c r="S97">
        <v>0.22678799999999999</v>
      </c>
      <c r="T97" t="s">
        <v>13</v>
      </c>
      <c r="U97">
        <v>1.2999999999999999E-2</v>
      </c>
      <c r="V97" t="s">
        <v>1</v>
      </c>
    </row>
    <row r="98" spans="15:22">
      <c r="O98" t="s">
        <v>1</v>
      </c>
      <c r="P98">
        <v>1</v>
      </c>
      <c r="Q98">
        <v>0.75</v>
      </c>
      <c r="R98">
        <v>0.75</v>
      </c>
      <c r="S98">
        <v>0.545875</v>
      </c>
      <c r="T98" t="s">
        <v>13</v>
      </c>
      <c r="U98">
        <v>1.2999999999999999E-2</v>
      </c>
      <c r="V98" t="s">
        <v>1</v>
      </c>
    </row>
    <row r="99" spans="15:22">
      <c r="O99" t="s">
        <v>1</v>
      </c>
      <c r="P99">
        <v>1</v>
      </c>
      <c r="Q99">
        <v>0.75</v>
      </c>
      <c r="R99">
        <v>0.5</v>
      </c>
      <c r="S99">
        <v>0.45384999999999998</v>
      </c>
      <c r="T99" t="s">
        <v>13</v>
      </c>
      <c r="U99">
        <v>1.2999999999999999E-2</v>
      </c>
      <c r="V99" t="s">
        <v>1</v>
      </c>
    </row>
    <row r="100" spans="15:22">
      <c r="O100" t="s">
        <v>1</v>
      </c>
      <c r="P100">
        <v>1</v>
      </c>
      <c r="Q100">
        <v>0.63265450000000001</v>
      </c>
      <c r="R100">
        <v>0.87058049999999998</v>
      </c>
      <c r="S100">
        <v>0.22678799999999999</v>
      </c>
      <c r="T100" t="s">
        <v>13</v>
      </c>
      <c r="U100">
        <v>1.2999999999999999E-2</v>
      </c>
      <c r="V100" t="s">
        <v>1</v>
      </c>
    </row>
    <row r="101" spans="15:22">
      <c r="O101" t="s">
        <v>1</v>
      </c>
      <c r="P101">
        <v>1</v>
      </c>
      <c r="Q101">
        <v>0.63265450000000001</v>
      </c>
      <c r="R101">
        <v>0.62058049999999998</v>
      </c>
      <c r="S101">
        <v>0.77293800000000001</v>
      </c>
      <c r="T101" t="s">
        <v>13</v>
      </c>
      <c r="U101">
        <v>1.2999999999999999E-2</v>
      </c>
      <c r="V101" t="s">
        <v>1</v>
      </c>
    </row>
    <row r="102" spans="15:22">
      <c r="O102" t="s">
        <v>1</v>
      </c>
      <c r="P102">
        <v>1</v>
      </c>
      <c r="Q102">
        <v>0.61734549999999999</v>
      </c>
      <c r="R102">
        <v>0.87941950000000002</v>
      </c>
      <c r="S102">
        <v>0.72692500000000004</v>
      </c>
      <c r="T102" t="s">
        <v>13</v>
      </c>
      <c r="U102">
        <v>1.2999999999999999E-2</v>
      </c>
      <c r="V102" t="s">
        <v>1</v>
      </c>
    </row>
    <row r="103" spans="15:22">
      <c r="O103" t="s">
        <v>1</v>
      </c>
      <c r="P103">
        <v>1</v>
      </c>
      <c r="Q103">
        <v>0.61734549999999999</v>
      </c>
      <c r="R103">
        <v>0.62941950000000002</v>
      </c>
      <c r="S103">
        <v>0.27279999999999999</v>
      </c>
      <c r="T103" t="s">
        <v>13</v>
      </c>
      <c r="U103">
        <v>1.2999999999999999E-2</v>
      </c>
      <c r="V103" t="s">
        <v>1</v>
      </c>
    </row>
    <row r="104" spans="15:22">
      <c r="O104" t="s">
        <v>1</v>
      </c>
      <c r="P104">
        <v>1</v>
      </c>
      <c r="Q104">
        <v>0.5</v>
      </c>
      <c r="R104">
        <v>0.75</v>
      </c>
      <c r="S104">
        <v>0.95398700000000003</v>
      </c>
      <c r="T104" t="s">
        <v>13</v>
      </c>
      <c r="U104">
        <v>1.2999999999999999E-2</v>
      </c>
      <c r="V104" t="s">
        <v>1</v>
      </c>
    </row>
    <row r="105" spans="15:22">
      <c r="O105" t="s">
        <v>1</v>
      </c>
      <c r="P105">
        <v>1</v>
      </c>
      <c r="Q105">
        <v>0.5</v>
      </c>
      <c r="R105">
        <v>0.5</v>
      </c>
      <c r="S105">
        <v>4.5738000000000001E-2</v>
      </c>
      <c r="T105" t="s">
        <v>13</v>
      </c>
      <c r="U105">
        <v>1.2999999999999999E-2</v>
      </c>
      <c r="V105" t="s">
        <v>1</v>
      </c>
    </row>
    <row r="106" spans="15:22">
      <c r="O106" t="s">
        <v>2</v>
      </c>
      <c r="P106">
        <v>1</v>
      </c>
      <c r="Q106">
        <v>0.75</v>
      </c>
      <c r="R106">
        <v>0.75</v>
      </c>
      <c r="S106">
        <v>0</v>
      </c>
      <c r="T106" t="s">
        <v>13</v>
      </c>
      <c r="U106">
        <v>4.7999999999999996E-3</v>
      </c>
      <c r="V106" t="s">
        <v>2</v>
      </c>
    </row>
    <row r="107" spans="15:22">
      <c r="O107" t="s">
        <v>2</v>
      </c>
      <c r="P107">
        <v>1</v>
      </c>
      <c r="Q107">
        <v>0.75</v>
      </c>
      <c r="R107">
        <v>0.5</v>
      </c>
      <c r="S107">
        <v>0</v>
      </c>
      <c r="T107" t="s">
        <v>13</v>
      </c>
      <c r="U107">
        <v>4.7999999999999996E-3</v>
      </c>
      <c r="V107" t="s">
        <v>2</v>
      </c>
    </row>
    <row r="108" spans="15:22">
      <c r="O108" t="s">
        <v>2</v>
      </c>
      <c r="P108">
        <v>1</v>
      </c>
      <c r="Q108">
        <v>0.5</v>
      </c>
      <c r="R108">
        <v>0.75</v>
      </c>
      <c r="S108">
        <v>0.499863</v>
      </c>
      <c r="T108" t="s">
        <v>13</v>
      </c>
      <c r="U108">
        <v>4.7999999999999996E-3</v>
      </c>
      <c r="V108" t="s">
        <v>2</v>
      </c>
    </row>
    <row r="109" spans="15:22">
      <c r="O109" t="s">
        <v>2</v>
      </c>
      <c r="P109">
        <v>1</v>
      </c>
      <c r="Q109">
        <v>0.5</v>
      </c>
      <c r="R109">
        <v>0.5</v>
      </c>
      <c r="S109">
        <v>0.499863</v>
      </c>
      <c r="T109" t="s">
        <v>13</v>
      </c>
      <c r="U109">
        <v>4.7999999999999996E-3</v>
      </c>
      <c r="V109" t="s">
        <v>2</v>
      </c>
    </row>
    <row r="110" spans="15:22">
      <c r="O110" t="s">
        <v>3</v>
      </c>
      <c r="P110">
        <v>1</v>
      </c>
      <c r="Q110">
        <v>0.75</v>
      </c>
      <c r="R110">
        <v>0.875</v>
      </c>
      <c r="S110">
        <v>0.499863</v>
      </c>
      <c r="T110" t="s">
        <v>13</v>
      </c>
      <c r="U110">
        <v>4.0000000000000001E-3</v>
      </c>
      <c r="V110" t="s">
        <v>3</v>
      </c>
    </row>
    <row r="111" spans="15:22">
      <c r="O111" t="s">
        <v>3</v>
      </c>
      <c r="P111">
        <v>1</v>
      </c>
      <c r="Q111">
        <v>0.75</v>
      </c>
      <c r="R111">
        <v>0.625</v>
      </c>
      <c r="S111">
        <v>0.499863</v>
      </c>
      <c r="T111" t="s">
        <v>13</v>
      </c>
      <c r="U111">
        <v>4.0000000000000001E-3</v>
      </c>
      <c r="V111" t="s">
        <v>3</v>
      </c>
    </row>
    <row r="112" spans="15:22">
      <c r="O112" t="s">
        <v>3</v>
      </c>
      <c r="P112">
        <v>1</v>
      </c>
      <c r="Q112">
        <v>0.5</v>
      </c>
      <c r="R112">
        <v>0.875</v>
      </c>
      <c r="S112">
        <v>0</v>
      </c>
      <c r="T112" t="s">
        <v>13</v>
      </c>
      <c r="U112">
        <v>4.0000000000000001E-3</v>
      </c>
      <c r="V112" t="s">
        <v>3</v>
      </c>
    </row>
    <row r="113" spans="15:22">
      <c r="O113" t="s">
        <v>3</v>
      </c>
      <c r="P113">
        <v>1</v>
      </c>
      <c r="Q113">
        <v>0.5</v>
      </c>
      <c r="R113">
        <v>0.625</v>
      </c>
      <c r="S113">
        <v>0</v>
      </c>
      <c r="T113" t="s">
        <v>13</v>
      </c>
      <c r="U113">
        <v>4.0000000000000001E-3</v>
      </c>
      <c r="V113" t="s">
        <v>3</v>
      </c>
    </row>
  </sheetData>
  <sortState xmlns:xlrd2="http://schemas.microsoft.com/office/spreadsheetml/2017/richdata2" ref="B2:F29">
    <sortCondition ref="B2:B29"/>
    <sortCondition ref="E2:E2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FF0C-D510-43B3-B3D4-E1E4AA5F26D8}">
  <dimension ref="A1:Y192"/>
  <sheetViews>
    <sheetView topLeftCell="B1" workbookViewId="0">
      <selection activeCell="O1" sqref="O1"/>
    </sheetView>
  </sheetViews>
  <sheetFormatPr defaultRowHeight="14.25"/>
  <sheetData>
    <row r="1" spans="1:21">
      <c r="A1" s="6"/>
      <c r="B1">
        <v>1</v>
      </c>
      <c r="C1">
        <v>182.87899999999999</v>
      </c>
      <c r="D1" t="s">
        <v>16</v>
      </c>
      <c r="E1">
        <v>1</v>
      </c>
      <c r="F1">
        <v>12497</v>
      </c>
      <c r="G1" t="s">
        <v>17</v>
      </c>
      <c r="H1">
        <v>1</v>
      </c>
      <c r="I1">
        <v>13322</v>
      </c>
      <c r="J1" t="s">
        <v>18</v>
      </c>
      <c r="K1">
        <v>1</v>
      </c>
      <c r="L1">
        <v>12497</v>
      </c>
      <c r="N1" t="s">
        <v>19</v>
      </c>
      <c r="O1">
        <v>11976</v>
      </c>
      <c r="Q1" t="s">
        <v>20</v>
      </c>
      <c r="R1">
        <v>5</v>
      </c>
      <c r="S1">
        <v>1</v>
      </c>
      <c r="T1" t="s">
        <v>21</v>
      </c>
      <c r="U1" t="s">
        <v>22</v>
      </c>
    </row>
    <row r="2" spans="1:21">
      <c r="A2" s="6"/>
      <c r="B2">
        <v>2</v>
      </c>
      <c r="C2">
        <v>182.84100000000001</v>
      </c>
      <c r="E2">
        <v>1</v>
      </c>
      <c r="F2">
        <v>12485</v>
      </c>
      <c r="H2">
        <v>2</v>
      </c>
      <c r="I2">
        <v>13233</v>
      </c>
      <c r="K2">
        <v>2</v>
      </c>
      <c r="L2">
        <v>12485</v>
      </c>
      <c r="Q2" t="s">
        <v>20</v>
      </c>
      <c r="R2">
        <v>5</v>
      </c>
      <c r="S2">
        <v>1</v>
      </c>
      <c r="T2" t="s">
        <v>23</v>
      </c>
      <c r="U2" t="s">
        <v>22</v>
      </c>
    </row>
    <row r="3" spans="1:21">
      <c r="A3" s="6"/>
      <c r="B3">
        <v>3</v>
      </c>
      <c r="C3">
        <v>182.78899999999999</v>
      </c>
      <c r="E3">
        <v>1</v>
      </c>
      <c r="F3">
        <v>12476</v>
      </c>
      <c r="H3">
        <v>3</v>
      </c>
      <c r="I3">
        <v>13172</v>
      </c>
      <c r="K3">
        <v>3</v>
      </c>
      <c r="L3">
        <v>12476</v>
      </c>
      <c r="Q3" t="s">
        <v>20</v>
      </c>
      <c r="R3">
        <v>5</v>
      </c>
      <c r="S3">
        <v>1</v>
      </c>
      <c r="T3" t="s">
        <v>24</v>
      </c>
      <c r="U3" t="s">
        <v>22</v>
      </c>
    </row>
    <row r="4" spans="1:21">
      <c r="A4" s="6"/>
      <c r="B4">
        <v>4</v>
      </c>
      <c r="C4">
        <v>182.71600000000001</v>
      </c>
      <c r="E4">
        <v>1</v>
      </c>
      <c r="F4">
        <v>12376</v>
      </c>
      <c r="H4">
        <v>4</v>
      </c>
      <c r="I4">
        <v>13070</v>
      </c>
      <c r="K4">
        <v>4</v>
      </c>
      <c r="L4">
        <v>12376</v>
      </c>
      <c r="Q4" t="s">
        <v>20</v>
      </c>
      <c r="R4">
        <v>5</v>
      </c>
      <c r="S4">
        <v>1</v>
      </c>
      <c r="T4" t="s">
        <v>25</v>
      </c>
      <c r="U4" t="s">
        <v>22</v>
      </c>
    </row>
    <row r="5" spans="1:21">
      <c r="A5" s="6"/>
      <c r="B5">
        <v>5</v>
      </c>
      <c r="C5">
        <v>182.62200000000001</v>
      </c>
      <c r="E5">
        <v>1</v>
      </c>
      <c r="F5">
        <v>12324</v>
      </c>
      <c r="H5">
        <v>5</v>
      </c>
      <c r="I5">
        <v>13011</v>
      </c>
      <c r="K5">
        <v>5</v>
      </c>
      <c r="L5">
        <v>12324</v>
      </c>
      <c r="Q5" t="s">
        <v>20</v>
      </c>
      <c r="R5">
        <v>5</v>
      </c>
      <c r="S5">
        <v>1</v>
      </c>
      <c r="T5" t="s">
        <v>26</v>
      </c>
      <c r="U5" t="s">
        <v>22</v>
      </c>
    </row>
    <row r="6" spans="1:21">
      <c r="A6" s="6"/>
      <c r="B6">
        <v>6</v>
      </c>
      <c r="C6">
        <v>181.691</v>
      </c>
      <c r="E6">
        <v>1</v>
      </c>
      <c r="G6">
        <f>AVERAGE(F1:F6)</f>
        <v>12431.6</v>
      </c>
      <c r="H6">
        <v>6</v>
      </c>
      <c r="I6">
        <v>12338</v>
      </c>
      <c r="K6">
        <v>6</v>
      </c>
      <c r="L6">
        <v>12013</v>
      </c>
      <c r="Q6" t="s">
        <v>20</v>
      </c>
      <c r="R6">
        <v>5</v>
      </c>
      <c r="S6">
        <v>1</v>
      </c>
      <c r="T6" t="s">
        <v>27</v>
      </c>
      <c r="U6" t="s">
        <v>22</v>
      </c>
    </row>
    <row r="7" spans="1:21">
      <c r="A7" s="6"/>
      <c r="B7">
        <v>7</v>
      </c>
      <c r="C7">
        <v>184.88</v>
      </c>
      <c r="E7">
        <v>2</v>
      </c>
      <c r="F7">
        <v>13329</v>
      </c>
      <c r="G7">
        <f>_xlfn.STDEV.P(F1:F6)</f>
        <v>68.948096420423383</v>
      </c>
      <c r="H7">
        <v>7</v>
      </c>
      <c r="I7">
        <v>14839</v>
      </c>
      <c r="K7">
        <v>7</v>
      </c>
      <c r="L7">
        <v>14009</v>
      </c>
      <c r="Q7" t="s">
        <v>20</v>
      </c>
      <c r="R7">
        <v>4</v>
      </c>
      <c r="S7">
        <v>2</v>
      </c>
      <c r="T7" t="s">
        <v>21</v>
      </c>
      <c r="U7" t="s">
        <v>28</v>
      </c>
    </row>
    <row r="8" spans="1:21">
      <c r="A8" s="6"/>
      <c r="B8">
        <v>8</v>
      </c>
      <c r="C8">
        <v>184.83500000000001</v>
      </c>
      <c r="E8">
        <v>2</v>
      </c>
      <c r="F8">
        <v>13242</v>
      </c>
      <c r="H8">
        <v>8</v>
      </c>
      <c r="I8">
        <v>14700</v>
      </c>
      <c r="K8">
        <v>8</v>
      </c>
      <c r="L8">
        <v>13937</v>
      </c>
      <c r="Q8" t="s">
        <v>20</v>
      </c>
      <c r="R8">
        <v>4</v>
      </c>
      <c r="S8">
        <v>2</v>
      </c>
      <c r="T8" t="s">
        <v>21</v>
      </c>
      <c r="U8" t="s">
        <v>29</v>
      </c>
    </row>
    <row r="9" spans="1:21">
      <c r="A9" s="6"/>
      <c r="B9">
        <v>9</v>
      </c>
      <c r="C9">
        <v>184.76499999999999</v>
      </c>
      <c r="E9">
        <v>2</v>
      </c>
      <c r="F9">
        <v>13231</v>
      </c>
      <c r="H9">
        <v>9</v>
      </c>
      <c r="I9">
        <v>14650</v>
      </c>
      <c r="K9">
        <v>9</v>
      </c>
      <c r="L9">
        <v>13845</v>
      </c>
      <c r="Q9" t="s">
        <v>20</v>
      </c>
      <c r="R9">
        <v>4</v>
      </c>
      <c r="S9">
        <v>2</v>
      </c>
      <c r="T9" t="s">
        <v>21</v>
      </c>
      <c r="U9" t="s">
        <v>30</v>
      </c>
    </row>
    <row r="10" spans="1:21">
      <c r="A10" s="6"/>
      <c r="B10">
        <v>10</v>
      </c>
      <c r="C10">
        <v>184.67400000000001</v>
      </c>
      <c r="E10">
        <v>2</v>
      </c>
      <c r="F10">
        <v>13130</v>
      </c>
      <c r="H10">
        <v>10</v>
      </c>
      <c r="I10">
        <v>14566</v>
      </c>
      <c r="K10">
        <v>10</v>
      </c>
      <c r="L10">
        <v>13802</v>
      </c>
      <c r="Q10" t="s">
        <v>20</v>
      </c>
      <c r="R10">
        <v>4</v>
      </c>
      <c r="S10">
        <v>2</v>
      </c>
      <c r="T10" t="s">
        <v>21</v>
      </c>
      <c r="U10" t="s">
        <v>31</v>
      </c>
    </row>
    <row r="11" spans="1:21">
      <c r="A11" s="6"/>
      <c r="B11">
        <v>11</v>
      </c>
      <c r="C11">
        <v>183.73699999999999</v>
      </c>
      <c r="E11">
        <v>2</v>
      </c>
      <c r="F11">
        <v>12800</v>
      </c>
      <c r="H11">
        <v>11</v>
      </c>
      <c r="I11">
        <v>13881</v>
      </c>
      <c r="K11">
        <v>11</v>
      </c>
      <c r="L11">
        <v>13117</v>
      </c>
      <c r="Q11" t="s">
        <v>20</v>
      </c>
      <c r="R11">
        <v>4</v>
      </c>
      <c r="S11">
        <v>2</v>
      </c>
      <c r="T11" t="s">
        <v>21</v>
      </c>
      <c r="U11" t="s">
        <v>32</v>
      </c>
    </row>
    <row r="12" spans="1:21">
      <c r="A12" s="6"/>
      <c r="B12">
        <v>12</v>
      </c>
      <c r="C12">
        <v>184.78899999999999</v>
      </c>
      <c r="E12">
        <v>2</v>
      </c>
      <c r="F12">
        <v>13224</v>
      </c>
      <c r="H12">
        <v>12</v>
      </c>
      <c r="I12">
        <v>14650</v>
      </c>
      <c r="K12">
        <v>12</v>
      </c>
      <c r="L12">
        <v>13914</v>
      </c>
      <c r="Q12" t="s">
        <v>20</v>
      </c>
      <c r="R12">
        <v>4</v>
      </c>
      <c r="S12">
        <v>2</v>
      </c>
      <c r="T12" t="s">
        <v>23</v>
      </c>
      <c r="U12" t="s">
        <v>29</v>
      </c>
    </row>
    <row r="13" spans="1:21">
      <c r="A13" s="6"/>
      <c r="B13">
        <v>13</v>
      </c>
      <c r="C13">
        <v>184.72300000000001</v>
      </c>
      <c r="E13">
        <v>2</v>
      </c>
      <c r="F13">
        <v>13173</v>
      </c>
      <c r="H13">
        <v>13</v>
      </c>
      <c r="I13">
        <v>14638</v>
      </c>
      <c r="K13">
        <v>13</v>
      </c>
      <c r="L13">
        <v>13817</v>
      </c>
      <c r="Q13" t="s">
        <v>20</v>
      </c>
      <c r="R13">
        <v>4</v>
      </c>
      <c r="S13">
        <v>2</v>
      </c>
      <c r="T13" t="s">
        <v>23</v>
      </c>
      <c r="U13" t="s">
        <v>30</v>
      </c>
    </row>
    <row r="14" spans="1:21">
      <c r="A14" s="6"/>
      <c r="B14">
        <v>14</v>
      </c>
      <c r="C14">
        <v>184.63300000000001</v>
      </c>
      <c r="E14">
        <v>2</v>
      </c>
      <c r="F14">
        <v>13130</v>
      </c>
      <c r="H14">
        <v>14</v>
      </c>
      <c r="I14">
        <v>14437</v>
      </c>
      <c r="K14">
        <v>14</v>
      </c>
      <c r="L14">
        <v>13689</v>
      </c>
      <c r="Q14" t="s">
        <v>20</v>
      </c>
      <c r="R14">
        <v>4</v>
      </c>
      <c r="S14">
        <v>2</v>
      </c>
      <c r="T14" t="s">
        <v>23</v>
      </c>
      <c r="U14" t="s">
        <v>31</v>
      </c>
    </row>
    <row r="15" spans="1:21">
      <c r="A15" s="6"/>
      <c r="B15">
        <v>15</v>
      </c>
      <c r="C15">
        <v>183.69800000000001</v>
      </c>
      <c r="E15">
        <v>2</v>
      </c>
      <c r="F15">
        <v>12800</v>
      </c>
      <c r="H15">
        <v>15</v>
      </c>
      <c r="I15">
        <v>13816</v>
      </c>
      <c r="K15">
        <v>15</v>
      </c>
      <c r="L15">
        <v>13053</v>
      </c>
      <c r="Q15" t="s">
        <v>20</v>
      </c>
      <c r="R15">
        <v>4</v>
      </c>
      <c r="S15">
        <v>2</v>
      </c>
      <c r="T15" t="s">
        <v>23</v>
      </c>
      <c r="U15" t="s">
        <v>32</v>
      </c>
    </row>
    <row r="16" spans="1:21">
      <c r="A16" s="6"/>
      <c r="B16">
        <v>16</v>
      </c>
      <c r="C16">
        <v>184.66300000000001</v>
      </c>
      <c r="E16">
        <v>2</v>
      </c>
      <c r="F16">
        <v>13130</v>
      </c>
      <c r="H16">
        <v>16</v>
      </c>
      <c r="I16">
        <v>14471</v>
      </c>
      <c r="K16">
        <v>16</v>
      </c>
      <c r="L16">
        <v>13807</v>
      </c>
      <c r="Q16" t="s">
        <v>20</v>
      </c>
      <c r="R16">
        <v>4</v>
      </c>
      <c r="S16">
        <v>2</v>
      </c>
      <c r="T16" t="s">
        <v>24</v>
      </c>
      <c r="U16" t="s">
        <v>30</v>
      </c>
    </row>
    <row r="17" spans="1:22">
      <c r="A17" s="6"/>
      <c r="B17">
        <v>17</v>
      </c>
      <c r="C17">
        <v>184.577</v>
      </c>
      <c r="E17">
        <v>2</v>
      </c>
      <c r="F17">
        <v>13066</v>
      </c>
      <c r="H17">
        <v>17</v>
      </c>
      <c r="I17">
        <v>14444</v>
      </c>
      <c r="K17">
        <v>17</v>
      </c>
      <c r="L17">
        <v>13685</v>
      </c>
      <c r="Q17" t="s">
        <v>20</v>
      </c>
      <c r="R17">
        <v>4</v>
      </c>
      <c r="S17">
        <v>2</v>
      </c>
      <c r="T17" t="s">
        <v>24</v>
      </c>
      <c r="U17" t="s">
        <v>31</v>
      </c>
    </row>
    <row r="18" spans="1:22">
      <c r="A18" s="6"/>
      <c r="B18">
        <v>18</v>
      </c>
      <c r="C18">
        <v>183.64400000000001</v>
      </c>
      <c r="E18">
        <v>2</v>
      </c>
      <c r="F18">
        <v>12729</v>
      </c>
      <c r="H18">
        <v>18</v>
      </c>
      <c r="I18">
        <v>13749</v>
      </c>
      <c r="K18">
        <v>18</v>
      </c>
      <c r="L18">
        <v>13023</v>
      </c>
      <c r="Q18" t="s">
        <v>20</v>
      </c>
      <c r="R18">
        <v>4</v>
      </c>
      <c r="S18">
        <v>2</v>
      </c>
      <c r="T18" t="s">
        <v>24</v>
      </c>
      <c r="U18" t="s">
        <v>32</v>
      </c>
    </row>
    <row r="19" spans="1:22">
      <c r="A19" s="6"/>
      <c r="B19">
        <v>19</v>
      </c>
      <c r="C19">
        <v>184.495</v>
      </c>
      <c r="E19">
        <v>2</v>
      </c>
      <c r="F19">
        <v>13018</v>
      </c>
      <c r="H19">
        <v>19</v>
      </c>
      <c r="I19">
        <v>14322</v>
      </c>
      <c r="K19">
        <v>19</v>
      </c>
      <c r="L19">
        <v>13639</v>
      </c>
      <c r="Q19" t="s">
        <v>20</v>
      </c>
      <c r="R19">
        <v>4</v>
      </c>
      <c r="S19">
        <v>2</v>
      </c>
      <c r="T19" t="s">
        <v>25</v>
      </c>
      <c r="U19" t="s">
        <v>31</v>
      </c>
    </row>
    <row r="20" spans="1:22">
      <c r="A20" s="6"/>
      <c r="B20">
        <v>20</v>
      </c>
      <c r="C20">
        <v>183.56800000000001</v>
      </c>
      <c r="E20">
        <v>2</v>
      </c>
      <c r="F20">
        <v>12705</v>
      </c>
      <c r="H20">
        <v>20</v>
      </c>
      <c r="I20">
        <v>13639</v>
      </c>
      <c r="K20">
        <v>20</v>
      </c>
      <c r="L20">
        <v>13011</v>
      </c>
      <c r="Q20" t="s">
        <v>20</v>
      </c>
      <c r="R20">
        <v>4</v>
      </c>
      <c r="S20">
        <v>2</v>
      </c>
      <c r="T20" t="s">
        <v>25</v>
      </c>
      <c r="U20" t="s">
        <v>32</v>
      </c>
    </row>
    <row r="21" spans="1:22">
      <c r="A21" s="6"/>
      <c r="B21">
        <v>21</v>
      </c>
      <c r="C21">
        <v>183.47</v>
      </c>
      <c r="E21">
        <v>2</v>
      </c>
      <c r="G21">
        <f>AVERAGE(F7:F21)</f>
        <v>13050.5</v>
      </c>
      <c r="H21">
        <v>21</v>
      </c>
      <c r="I21">
        <v>13535</v>
      </c>
      <c r="K21">
        <v>21</v>
      </c>
      <c r="L21">
        <v>12948</v>
      </c>
      <c r="Q21" t="s">
        <v>20</v>
      </c>
      <c r="R21">
        <v>4</v>
      </c>
      <c r="S21">
        <v>2</v>
      </c>
      <c r="T21" t="s">
        <v>26</v>
      </c>
      <c r="U21" t="s">
        <v>32</v>
      </c>
    </row>
    <row r="22" spans="1:22">
      <c r="A22" s="6"/>
      <c r="B22">
        <v>22</v>
      </c>
      <c r="C22">
        <v>186.83199999999999</v>
      </c>
      <c r="E22">
        <v>3</v>
      </c>
      <c r="F22">
        <v>13998</v>
      </c>
      <c r="G22">
        <f>_xlfn.STDEV.P(F7:F21)</f>
        <v>200.07382566014405</v>
      </c>
      <c r="H22">
        <v>22</v>
      </c>
      <c r="I22">
        <v>16260</v>
      </c>
      <c r="K22">
        <v>22</v>
      </c>
      <c r="L22">
        <v>15455</v>
      </c>
      <c r="Q22" t="s">
        <v>20</v>
      </c>
      <c r="R22">
        <v>3</v>
      </c>
      <c r="S22">
        <v>3</v>
      </c>
      <c r="T22" t="s">
        <v>21</v>
      </c>
      <c r="U22">
        <v>1</v>
      </c>
      <c r="V22" t="s">
        <v>29</v>
      </c>
    </row>
    <row r="23" spans="1:22">
      <c r="A23" s="6"/>
      <c r="B23">
        <v>23</v>
      </c>
      <c r="C23">
        <v>186.77</v>
      </c>
      <c r="E23">
        <v>3</v>
      </c>
      <c r="F23">
        <v>13937</v>
      </c>
      <c r="H23">
        <v>23</v>
      </c>
      <c r="I23">
        <v>16223</v>
      </c>
      <c r="K23">
        <v>23</v>
      </c>
      <c r="L23">
        <v>15453</v>
      </c>
      <c r="Q23" t="s">
        <v>20</v>
      </c>
      <c r="R23">
        <v>3</v>
      </c>
      <c r="S23">
        <v>3</v>
      </c>
      <c r="T23" t="s">
        <v>21</v>
      </c>
      <c r="U23">
        <v>1</v>
      </c>
      <c r="V23" t="s">
        <v>30</v>
      </c>
    </row>
    <row r="24" spans="1:22">
      <c r="A24" s="6"/>
      <c r="B24">
        <v>24</v>
      </c>
      <c r="C24">
        <v>186.68299999999999</v>
      </c>
      <c r="E24">
        <v>3</v>
      </c>
      <c r="F24">
        <v>13891</v>
      </c>
      <c r="H24">
        <v>24</v>
      </c>
      <c r="I24">
        <v>16149</v>
      </c>
      <c r="K24">
        <v>24</v>
      </c>
      <c r="L24">
        <v>15255</v>
      </c>
      <c r="Q24" t="s">
        <v>20</v>
      </c>
      <c r="R24">
        <v>3</v>
      </c>
      <c r="S24">
        <v>3</v>
      </c>
      <c r="T24" t="s">
        <v>21</v>
      </c>
      <c r="U24">
        <v>1</v>
      </c>
      <c r="V24" t="s">
        <v>31</v>
      </c>
    </row>
    <row r="25" spans="1:22">
      <c r="A25" s="6"/>
      <c r="B25">
        <v>25</v>
      </c>
      <c r="C25">
        <v>185.74299999999999</v>
      </c>
      <c r="E25">
        <v>3</v>
      </c>
      <c r="F25">
        <v>13558</v>
      </c>
      <c r="H25">
        <v>25</v>
      </c>
      <c r="I25">
        <v>15405</v>
      </c>
      <c r="K25">
        <v>25</v>
      </c>
      <c r="L25">
        <v>14642</v>
      </c>
      <c r="Q25" t="s">
        <v>20</v>
      </c>
      <c r="R25">
        <v>3</v>
      </c>
      <c r="S25">
        <v>3</v>
      </c>
      <c r="T25" t="s">
        <v>21</v>
      </c>
      <c r="U25">
        <v>1</v>
      </c>
      <c r="V25" t="s">
        <v>32</v>
      </c>
    </row>
    <row r="26" spans="1:22">
      <c r="A26" s="6"/>
      <c r="B26">
        <v>26</v>
      </c>
      <c r="C26">
        <v>186.71700000000001</v>
      </c>
      <c r="E26">
        <v>3</v>
      </c>
      <c r="F26">
        <v>13942</v>
      </c>
      <c r="H26">
        <v>26</v>
      </c>
      <c r="I26">
        <v>16126</v>
      </c>
      <c r="K26">
        <v>26</v>
      </c>
      <c r="L26">
        <v>15258</v>
      </c>
      <c r="Q26" t="s">
        <v>20</v>
      </c>
      <c r="R26">
        <v>3</v>
      </c>
      <c r="S26">
        <v>3</v>
      </c>
      <c r="T26" t="s">
        <v>21</v>
      </c>
      <c r="U26">
        <v>2</v>
      </c>
      <c r="V26" t="s">
        <v>30</v>
      </c>
    </row>
    <row r="27" spans="1:22">
      <c r="A27" s="6"/>
      <c r="B27">
        <v>27</v>
      </c>
      <c r="C27">
        <v>186.63300000000001</v>
      </c>
      <c r="E27">
        <v>3</v>
      </c>
      <c r="F27">
        <v>13845</v>
      </c>
      <c r="H27">
        <v>27</v>
      </c>
      <c r="I27">
        <v>16111</v>
      </c>
      <c r="K27">
        <v>27</v>
      </c>
      <c r="L27">
        <v>15250</v>
      </c>
      <c r="Q27" t="s">
        <v>20</v>
      </c>
      <c r="R27">
        <v>3</v>
      </c>
      <c r="S27">
        <v>3</v>
      </c>
      <c r="T27" t="s">
        <v>21</v>
      </c>
      <c r="U27">
        <v>2</v>
      </c>
      <c r="V27" t="s">
        <v>31</v>
      </c>
    </row>
    <row r="28" spans="1:22">
      <c r="A28" s="6"/>
      <c r="B28">
        <v>28</v>
      </c>
      <c r="C28">
        <v>185.696</v>
      </c>
      <c r="E28">
        <v>3</v>
      </c>
      <c r="F28">
        <v>13528</v>
      </c>
      <c r="H28">
        <v>28</v>
      </c>
      <c r="I28">
        <v>15324</v>
      </c>
      <c r="K28">
        <v>28</v>
      </c>
      <c r="L28">
        <v>14511</v>
      </c>
      <c r="Q28" t="s">
        <v>20</v>
      </c>
      <c r="R28">
        <v>3</v>
      </c>
      <c r="S28">
        <v>3</v>
      </c>
      <c r="T28" t="s">
        <v>21</v>
      </c>
      <c r="U28">
        <v>2</v>
      </c>
      <c r="V28" t="s">
        <v>32</v>
      </c>
    </row>
    <row r="29" spans="1:22">
      <c r="A29" s="6"/>
      <c r="B29">
        <v>29</v>
      </c>
      <c r="C29">
        <v>186.55500000000001</v>
      </c>
      <c r="E29">
        <v>3</v>
      </c>
      <c r="F29">
        <v>13816</v>
      </c>
      <c r="H29">
        <v>29</v>
      </c>
      <c r="I29">
        <v>15941</v>
      </c>
      <c r="K29">
        <v>29</v>
      </c>
      <c r="L29">
        <v>15127</v>
      </c>
      <c r="Q29" t="s">
        <v>20</v>
      </c>
      <c r="R29">
        <v>3</v>
      </c>
      <c r="S29">
        <v>3</v>
      </c>
      <c r="T29" t="s">
        <v>21</v>
      </c>
      <c r="U29">
        <v>3</v>
      </c>
      <c r="V29" t="s">
        <v>31</v>
      </c>
    </row>
    <row r="30" spans="1:22">
      <c r="A30" s="6"/>
      <c r="B30">
        <v>30</v>
      </c>
      <c r="C30">
        <v>185.624</v>
      </c>
      <c r="E30">
        <v>3</v>
      </c>
      <c r="F30">
        <v>13488</v>
      </c>
      <c r="H30">
        <v>30</v>
      </c>
      <c r="I30">
        <v>15250</v>
      </c>
      <c r="K30">
        <v>30</v>
      </c>
      <c r="L30">
        <v>14447</v>
      </c>
      <c r="Q30" t="s">
        <v>20</v>
      </c>
      <c r="R30">
        <v>3</v>
      </c>
      <c r="S30">
        <v>3</v>
      </c>
      <c r="T30" t="s">
        <v>21</v>
      </c>
      <c r="U30">
        <v>3</v>
      </c>
      <c r="V30" t="s">
        <v>32</v>
      </c>
    </row>
    <row r="31" spans="1:22">
      <c r="A31" s="6"/>
      <c r="B31">
        <v>31</v>
      </c>
      <c r="C31">
        <v>185.52799999999999</v>
      </c>
      <c r="E31">
        <v>3</v>
      </c>
      <c r="F31">
        <v>13425</v>
      </c>
      <c r="H31">
        <v>31</v>
      </c>
      <c r="I31">
        <v>15155</v>
      </c>
      <c r="K31">
        <v>31</v>
      </c>
      <c r="L31">
        <v>14352</v>
      </c>
      <c r="Q31" t="s">
        <v>20</v>
      </c>
      <c r="R31">
        <v>3</v>
      </c>
      <c r="S31">
        <v>3</v>
      </c>
      <c r="T31" t="s">
        <v>21</v>
      </c>
      <c r="U31">
        <v>4</v>
      </c>
      <c r="V31" t="s">
        <v>32</v>
      </c>
    </row>
    <row r="32" spans="1:22">
      <c r="A32" s="6"/>
      <c r="B32">
        <v>32</v>
      </c>
      <c r="C32">
        <v>186.667</v>
      </c>
      <c r="E32">
        <v>3</v>
      </c>
      <c r="F32">
        <v>13845</v>
      </c>
      <c r="H32">
        <v>32</v>
      </c>
      <c r="I32">
        <v>16076</v>
      </c>
      <c r="K32">
        <v>32</v>
      </c>
      <c r="L32">
        <v>15248</v>
      </c>
      <c r="Q32" t="s">
        <v>20</v>
      </c>
      <c r="R32">
        <v>3</v>
      </c>
      <c r="S32">
        <v>3</v>
      </c>
      <c r="T32" t="s">
        <v>23</v>
      </c>
      <c r="U32">
        <v>2</v>
      </c>
      <c r="V32" t="s">
        <v>30</v>
      </c>
    </row>
    <row r="33" spans="1:23">
      <c r="A33" s="6"/>
      <c r="B33">
        <v>33</v>
      </c>
      <c r="C33">
        <v>186.58500000000001</v>
      </c>
      <c r="E33">
        <v>3</v>
      </c>
      <c r="F33">
        <v>13816</v>
      </c>
      <c r="H33">
        <v>33</v>
      </c>
      <c r="I33">
        <v>15961</v>
      </c>
      <c r="K33">
        <v>33</v>
      </c>
      <c r="L33">
        <v>15193</v>
      </c>
      <c r="Q33" t="s">
        <v>20</v>
      </c>
      <c r="R33">
        <v>3</v>
      </c>
      <c r="S33">
        <v>3</v>
      </c>
      <c r="T33" t="s">
        <v>23</v>
      </c>
      <c r="U33">
        <v>2</v>
      </c>
      <c r="V33" t="s">
        <v>31</v>
      </c>
    </row>
    <row r="34" spans="1:23">
      <c r="A34" s="6"/>
      <c r="B34">
        <v>34</v>
      </c>
      <c r="C34">
        <v>185.649</v>
      </c>
      <c r="E34">
        <v>3</v>
      </c>
      <c r="F34">
        <v>13488</v>
      </c>
      <c r="H34">
        <v>34</v>
      </c>
      <c r="I34">
        <v>15253</v>
      </c>
      <c r="K34">
        <v>34</v>
      </c>
      <c r="L34">
        <v>14432</v>
      </c>
      <c r="Q34" t="s">
        <v>20</v>
      </c>
      <c r="R34">
        <v>3</v>
      </c>
      <c r="S34">
        <v>3</v>
      </c>
      <c r="T34" t="s">
        <v>23</v>
      </c>
      <c r="U34">
        <v>2</v>
      </c>
      <c r="V34" t="s">
        <v>32</v>
      </c>
    </row>
    <row r="35" spans="1:23">
      <c r="A35" s="6"/>
      <c r="B35">
        <v>35</v>
      </c>
      <c r="C35">
        <v>186.51</v>
      </c>
      <c r="E35">
        <v>3</v>
      </c>
      <c r="F35">
        <v>13807</v>
      </c>
      <c r="H35">
        <v>35</v>
      </c>
      <c r="I35">
        <v>15876</v>
      </c>
      <c r="K35">
        <v>35</v>
      </c>
      <c r="L35">
        <v>15063</v>
      </c>
      <c r="Q35" t="s">
        <v>20</v>
      </c>
      <c r="R35">
        <v>3</v>
      </c>
      <c r="S35">
        <v>3</v>
      </c>
      <c r="T35" t="s">
        <v>23</v>
      </c>
      <c r="U35">
        <v>3</v>
      </c>
      <c r="V35" t="s">
        <v>31</v>
      </c>
    </row>
    <row r="36" spans="1:23">
      <c r="A36" s="6"/>
      <c r="B36">
        <v>36</v>
      </c>
      <c r="C36">
        <v>185.58099999999999</v>
      </c>
      <c r="E36">
        <v>3</v>
      </c>
      <c r="F36">
        <v>13425</v>
      </c>
      <c r="H36">
        <v>36</v>
      </c>
      <c r="I36">
        <v>15190</v>
      </c>
      <c r="K36">
        <v>36</v>
      </c>
      <c r="L36">
        <v>14447</v>
      </c>
      <c r="Q36" t="s">
        <v>20</v>
      </c>
      <c r="R36">
        <v>3</v>
      </c>
      <c r="S36">
        <v>3</v>
      </c>
      <c r="T36" t="s">
        <v>23</v>
      </c>
      <c r="U36">
        <v>3</v>
      </c>
      <c r="V36" t="s">
        <v>32</v>
      </c>
    </row>
    <row r="37" spans="1:23">
      <c r="A37" s="6"/>
      <c r="B37">
        <v>37</v>
      </c>
      <c r="C37">
        <v>185.48599999999999</v>
      </c>
      <c r="E37">
        <v>3</v>
      </c>
      <c r="F37">
        <v>13365</v>
      </c>
      <c r="H37">
        <v>37</v>
      </c>
      <c r="I37">
        <v>15060</v>
      </c>
      <c r="K37">
        <v>37</v>
      </c>
      <c r="L37">
        <v>14348</v>
      </c>
      <c r="Q37" t="s">
        <v>20</v>
      </c>
      <c r="R37">
        <v>3</v>
      </c>
      <c r="S37">
        <v>3</v>
      </c>
      <c r="T37" t="s">
        <v>23</v>
      </c>
      <c r="U37">
        <v>4</v>
      </c>
      <c r="V37" t="s">
        <v>32</v>
      </c>
    </row>
    <row r="38" spans="1:23">
      <c r="A38" s="6"/>
      <c r="B38">
        <v>38</v>
      </c>
      <c r="C38">
        <v>186.446</v>
      </c>
      <c r="E38">
        <v>3</v>
      </c>
      <c r="F38">
        <v>13749</v>
      </c>
      <c r="H38">
        <v>38</v>
      </c>
      <c r="I38">
        <v>15789</v>
      </c>
      <c r="K38">
        <v>38</v>
      </c>
      <c r="L38">
        <v>15044</v>
      </c>
      <c r="Q38" t="s">
        <v>20</v>
      </c>
      <c r="R38">
        <v>3</v>
      </c>
      <c r="S38">
        <v>3</v>
      </c>
      <c r="T38" t="s">
        <v>24</v>
      </c>
      <c r="U38">
        <v>3</v>
      </c>
      <c r="V38" t="s">
        <v>31</v>
      </c>
    </row>
    <row r="39" spans="1:23">
      <c r="A39" s="6"/>
      <c r="B39">
        <v>39</v>
      </c>
      <c r="C39">
        <v>185.51900000000001</v>
      </c>
      <c r="E39">
        <v>3</v>
      </c>
      <c r="F39">
        <v>13421</v>
      </c>
      <c r="H39">
        <v>39</v>
      </c>
      <c r="I39">
        <v>15074</v>
      </c>
      <c r="K39">
        <v>39</v>
      </c>
      <c r="L39">
        <v>14364</v>
      </c>
      <c r="Q39" t="s">
        <v>20</v>
      </c>
      <c r="R39">
        <v>3</v>
      </c>
      <c r="S39">
        <v>3</v>
      </c>
      <c r="T39" t="s">
        <v>24</v>
      </c>
      <c r="U39">
        <v>3</v>
      </c>
      <c r="V39" t="s">
        <v>32</v>
      </c>
    </row>
    <row r="40" spans="1:23">
      <c r="A40" s="6"/>
      <c r="B40">
        <v>40</v>
      </c>
      <c r="C40">
        <v>185.428</v>
      </c>
      <c r="E40">
        <v>3</v>
      </c>
      <c r="F40">
        <v>13361</v>
      </c>
      <c r="H40">
        <v>40</v>
      </c>
      <c r="I40">
        <v>14977</v>
      </c>
      <c r="K40">
        <v>40</v>
      </c>
      <c r="L40">
        <v>14286</v>
      </c>
      <c r="Q40" t="s">
        <v>20</v>
      </c>
      <c r="R40">
        <v>3</v>
      </c>
      <c r="S40">
        <v>3</v>
      </c>
      <c r="T40" t="s">
        <v>24</v>
      </c>
      <c r="U40">
        <v>4</v>
      </c>
      <c r="V40" t="s">
        <v>32</v>
      </c>
    </row>
    <row r="41" spans="1:23">
      <c r="A41" s="6"/>
      <c r="B41">
        <v>41</v>
      </c>
      <c r="C41">
        <v>185.34399999999999</v>
      </c>
      <c r="E41">
        <v>3</v>
      </c>
      <c r="G41">
        <f>AVERAGE(F22:F41)</f>
        <v>13668.684210526315</v>
      </c>
      <c r="H41">
        <v>41</v>
      </c>
      <c r="I41">
        <v>14898</v>
      </c>
      <c r="K41">
        <v>41</v>
      </c>
      <c r="L41">
        <v>14231</v>
      </c>
      <c r="Q41" t="s">
        <v>20</v>
      </c>
      <c r="R41">
        <v>3</v>
      </c>
      <c r="S41">
        <v>3</v>
      </c>
      <c r="T41" t="s">
        <v>25</v>
      </c>
      <c r="U41">
        <v>4</v>
      </c>
      <c r="V41" t="s">
        <v>32</v>
      </c>
    </row>
    <row r="42" spans="1:23">
      <c r="A42" s="6"/>
      <c r="B42">
        <v>42</v>
      </c>
      <c r="C42">
        <v>188.71700000000001</v>
      </c>
      <c r="E42">
        <v>4</v>
      </c>
      <c r="F42">
        <v>14657</v>
      </c>
      <c r="G42">
        <f>_xlfn.STDEV.P(F22:F40)</f>
        <v>217.65135148517709</v>
      </c>
      <c r="H42">
        <v>42</v>
      </c>
      <c r="I42">
        <v>17674</v>
      </c>
      <c r="K42">
        <v>42</v>
      </c>
      <c r="L42">
        <v>16862</v>
      </c>
      <c r="Q42" t="s">
        <v>20</v>
      </c>
      <c r="R42">
        <v>2</v>
      </c>
      <c r="S42">
        <v>4</v>
      </c>
      <c r="T42" t="s">
        <v>21</v>
      </c>
      <c r="U42">
        <v>1</v>
      </c>
      <c r="V42">
        <v>2</v>
      </c>
      <c r="W42" t="s">
        <v>30</v>
      </c>
    </row>
    <row r="43" spans="1:23">
      <c r="A43" s="6"/>
      <c r="B43">
        <v>43</v>
      </c>
      <c r="C43">
        <v>188.637</v>
      </c>
      <c r="E43">
        <v>4</v>
      </c>
      <c r="F43">
        <v>14652</v>
      </c>
      <c r="H43">
        <v>43</v>
      </c>
      <c r="I43">
        <v>17671</v>
      </c>
      <c r="K43">
        <v>43</v>
      </c>
      <c r="L43">
        <v>16826</v>
      </c>
      <c r="Q43" t="s">
        <v>20</v>
      </c>
      <c r="R43">
        <v>2</v>
      </c>
      <c r="S43">
        <v>4</v>
      </c>
      <c r="T43" t="s">
        <v>21</v>
      </c>
      <c r="U43">
        <v>1</v>
      </c>
      <c r="V43">
        <v>2</v>
      </c>
      <c r="W43" t="s">
        <v>31</v>
      </c>
    </row>
    <row r="44" spans="1:23">
      <c r="A44" s="6"/>
      <c r="B44">
        <v>44</v>
      </c>
      <c r="C44">
        <v>187.69800000000001</v>
      </c>
      <c r="E44">
        <v>4</v>
      </c>
      <c r="F44">
        <v>14290</v>
      </c>
      <c r="H44">
        <v>44</v>
      </c>
      <c r="I44">
        <v>16934</v>
      </c>
      <c r="K44">
        <v>44</v>
      </c>
      <c r="L44">
        <v>16112</v>
      </c>
      <c r="Q44" t="s">
        <v>20</v>
      </c>
      <c r="R44">
        <v>2</v>
      </c>
      <c r="S44">
        <v>4</v>
      </c>
      <c r="T44" t="s">
        <v>21</v>
      </c>
      <c r="U44">
        <v>1</v>
      </c>
      <c r="V44">
        <v>2</v>
      </c>
      <c r="W44" t="s">
        <v>32</v>
      </c>
    </row>
    <row r="45" spans="1:23">
      <c r="A45" s="6"/>
      <c r="B45">
        <v>45</v>
      </c>
      <c r="C45">
        <v>188.56700000000001</v>
      </c>
      <c r="E45">
        <v>4</v>
      </c>
      <c r="F45">
        <v>14641</v>
      </c>
      <c r="H45">
        <v>45</v>
      </c>
      <c r="I45">
        <v>17561</v>
      </c>
      <c r="K45">
        <v>45</v>
      </c>
      <c r="L45">
        <v>16783</v>
      </c>
      <c r="Q45" t="s">
        <v>20</v>
      </c>
      <c r="R45">
        <v>2</v>
      </c>
      <c r="S45">
        <v>4</v>
      </c>
      <c r="T45" t="s">
        <v>21</v>
      </c>
      <c r="U45">
        <v>1</v>
      </c>
      <c r="V45">
        <v>3</v>
      </c>
      <c r="W45" t="s">
        <v>31</v>
      </c>
    </row>
    <row r="46" spans="1:23">
      <c r="A46" s="6"/>
      <c r="B46">
        <v>46</v>
      </c>
      <c r="C46">
        <v>187.63300000000001</v>
      </c>
      <c r="E46">
        <v>4</v>
      </c>
      <c r="F46">
        <v>14237</v>
      </c>
      <c r="H46">
        <v>46</v>
      </c>
      <c r="I46">
        <v>16832</v>
      </c>
      <c r="K46">
        <v>46</v>
      </c>
      <c r="L46">
        <v>16048</v>
      </c>
      <c r="Q46" t="s">
        <v>20</v>
      </c>
      <c r="R46">
        <v>2</v>
      </c>
      <c r="S46">
        <v>4</v>
      </c>
      <c r="T46" t="s">
        <v>21</v>
      </c>
      <c r="U46">
        <v>1</v>
      </c>
      <c r="V46">
        <v>3</v>
      </c>
      <c r="W46" t="s">
        <v>32</v>
      </c>
    </row>
    <row r="47" spans="1:23">
      <c r="A47" s="6"/>
      <c r="B47">
        <v>47</v>
      </c>
      <c r="C47">
        <v>187.541</v>
      </c>
      <c r="E47">
        <v>4</v>
      </c>
      <c r="F47">
        <v>14147</v>
      </c>
      <c r="H47">
        <v>47</v>
      </c>
      <c r="I47">
        <v>16765</v>
      </c>
      <c r="K47">
        <v>47</v>
      </c>
      <c r="L47">
        <v>15949</v>
      </c>
      <c r="Q47" t="s">
        <v>20</v>
      </c>
      <c r="R47">
        <v>2</v>
      </c>
      <c r="S47">
        <v>4</v>
      </c>
      <c r="T47" t="s">
        <v>21</v>
      </c>
      <c r="U47">
        <v>1</v>
      </c>
      <c r="V47">
        <v>4</v>
      </c>
      <c r="W47" t="s">
        <v>32</v>
      </c>
    </row>
    <row r="48" spans="1:23">
      <c r="A48" s="6"/>
      <c r="B48">
        <v>48</v>
      </c>
      <c r="C48">
        <v>188.50899999999999</v>
      </c>
      <c r="E48">
        <v>4</v>
      </c>
      <c r="F48">
        <v>14527</v>
      </c>
      <c r="H48">
        <v>48</v>
      </c>
      <c r="I48">
        <v>17474</v>
      </c>
      <c r="K48">
        <v>48</v>
      </c>
      <c r="L48">
        <v>16572</v>
      </c>
      <c r="Q48" t="s">
        <v>20</v>
      </c>
      <c r="R48">
        <v>2</v>
      </c>
      <c r="S48">
        <v>4</v>
      </c>
      <c r="T48" t="s">
        <v>21</v>
      </c>
      <c r="U48">
        <v>2</v>
      </c>
      <c r="V48">
        <v>3</v>
      </c>
      <c r="W48" t="s">
        <v>31</v>
      </c>
    </row>
    <row r="49" spans="1:25">
      <c r="A49" s="6"/>
      <c r="B49">
        <v>49</v>
      </c>
      <c r="C49">
        <v>187.57900000000001</v>
      </c>
      <c r="E49">
        <v>4</v>
      </c>
      <c r="F49">
        <v>14178</v>
      </c>
      <c r="H49">
        <v>49</v>
      </c>
      <c r="I49">
        <v>16768</v>
      </c>
      <c r="K49">
        <v>49</v>
      </c>
      <c r="L49">
        <v>15947</v>
      </c>
      <c r="Q49" t="s">
        <v>20</v>
      </c>
      <c r="R49">
        <v>2</v>
      </c>
      <c r="S49">
        <v>4</v>
      </c>
      <c r="T49" t="s">
        <v>21</v>
      </c>
      <c r="U49">
        <v>2</v>
      </c>
      <c r="V49">
        <v>3</v>
      </c>
      <c r="W49" t="s">
        <v>32</v>
      </c>
    </row>
    <row r="50" spans="1:25">
      <c r="A50" s="6"/>
      <c r="B50">
        <v>50</v>
      </c>
      <c r="C50">
        <v>187.49</v>
      </c>
      <c r="E50">
        <v>4</v>
      </c>
      <c r="F50">
        <v>14100</v>
      </c>
      <c r="H50">
        <v>50</v>
      </c>
      <c r="I50">
        <v>16680</v>
      </c>
      <c r="K50">
        <v>50</v>
      </c>
      <c r="L50">
        <v>15835</v>
      </c>
      <c r="Q50" t="s">
        <v>20</v>
      </c>
      <c r="R50">
        <v>2</v>
      </c>
      <c r="S50">
        <v>4</v>
      </c>
      <c r="T50" t="s">
        <v>21</v>
      </c>
      <c r="U50">
        <v>2</v>
      </c>
      <c r="V50">
        <v>4</v>
      </c>
      <c r="W50" t="s">
        <v>32</v>
      </c>
    </row>
    <row r="51" spans="1:25">
      <c r="A51" s="6"/>
      <c r="B51">
        <v>51</v>
      </c>
      <c r="C51">
        <v>187.41</v>
      </c>
      <c r="E51">
        <v>4</v>
      </c>
      <c r="F51">
        <v>14112</v>
      </c>
      <c r="H51">
        <v>51</v>
      </c>
      <c r="I51">
        <v>16566</v>
      </c>
      <c r="K51">
        <v>51</v>
      </c>
      <c r="L51">
        <v>15752</v>
      </c>
      <c r="Q51" t="s">
        <v>20</v>
      </c>
      <c r="R51">
        <v>2</v>
      </c>
      <c r="S51">
        <v>4</v>
      </c>
      <c r="T51" t="s">
        <v>21</v>
      </c>
      <c r="U51">
        <v>3</v>
      </c>
      <c r="V51">
        <v>4</v>
      </c>
      <c r="W51" t="s">
        <v>32</v>
      </c>
    </row>
    <row r="52" spans="1:25">
      <c r="A52" s="6"/>
      <c r="B52">
        <v>52</v>
      </c>
      <c r="C52">
        <v>188.45699999999999</v>
      </c>
      <c r="E52">
        <v>4</v>
      </c>
      <c r="F52">
        <v>14477</v>
      </c>
      <c r="H52">
        <v>52</v>
      </c>
      <c r="I52">
        <v>17400</v>
      </c>
      <c r="K52">
        <v>52</v>
      </c>
      <c r="L52">
        <v>16581</v>
      </c>
      <c r="Q52" t="s">
        <v>20</v>
      </c>
      <c r="R52">
        <v>2</v>
      </c>
      <c r="S52">
        <v>4</v>
      </c>
      <c r="T52" t="s">
        <v>23</v>
      </c>
      <c r="U52">
        <v>2</v>
      </c>
      <c r="V52">
        <v>3</v>
      </c>
      <c r="W52" t="s">
        <v>31</v>
      </c>
    </row>
    <row r="53" spans="1:25">
      <c r="A53" s="6"/>
      <c r="B53">
        <v>53</v>
      </c>
      <c r="C53">
        <v>187.52699999999999</v>
      </c>
      <c r="E53">
        <v>4</v>
      </c>
      <c r="F53">
        <v>14100</v>
      </c>
      <c r="H53">
        <v>53</v>
      </c>
      <c r="I53">
        <v>16720</v>
      </c>
      <c r="K53">
        <v>53</v>
      </c>
      <c r="L53">
        <v>15888</v>
      </c>
      <c r="Q53" t="s">
        <v>20</v>
      </c>
      <c r="R53">
        <v>2</v>
      </c>
      <c r="S53">
        <v>4</v>
      </c>
      <c r="T53" t="s">
        <v>23</v>
      </c>
      <c r="U53">
        <v>2</v>
      </c>
      <c r="V53">
        <v>3</v>
      </c>
      <c r="W53" t="s">
        <v>32</v>
      </c>
    </row>
    <row r="54" spans="1:25">
      <c r="A54" s="6"/>
      <c r="B54">
        <v>54</v>
      </c>
      <c r="C54">
        <v>187.441</v>
      </c>
      <c r="E54">
        <v>4</v>
      </c>
      <c r="F54">
        <v>14105</v>
      </c>
      <c r="H54">
        <v>54</v>
      </c>
      <c r="I54">
        <v>16577</v>
      </c>
      <c r="K54">
        <v>54</v>
      </c>
      <c r="L54">
        <v>15830</v>
      </c>
      <c r="Q54" t="s">
        <v>20</v>
      </c>
      <c r="R54">
        <v>2</v>
      </c>
      <c r="S54">
        <v>4</v>
      </c>
      <c r="T54" t="s">
        <v>23</v>
      </c>
      <c r="U54">
        <v>2</v>
      </c>
      <c r="V54">
        <v>4</v>
      </c>
      <c r="W54" t="s">
        <v>32</v>
      </c>
    </row>
    <row r="55" spans="1:25">
      <c r="A55" s="6"/>
      <c r="B55">
        <v>55</v>
      </c>
      <c r="C55">
        <v>187.363</v>
      </c>
      <c r="E55">
        <v>4</v>
      </c>
      <c r="F55">
        <v>14087</v>
      </c>
      <c r="H55">
        <v>55</v>
      </c>
      <c r="I55">
        <v>16515</v>
      </c>
      <c r="K55">
        <v>55</v>
      </c>
      <c r="L55">
        <v>15696</v>
      </c>
      <c r="Q55" t="s">
        <v>20</v>
      </c>
      <c r="R55">
        <v>2</v>
      </c>
      <c r="S55">
        <v>4</v>
      </c>
      <c r="T55" t="s">
        <v>23</v>
      </c>
      <c r="U55">
        <v>3</v>
      </c>
      <c r="V55">
        <v>4</v>
      </c>
      <c r="W55" t="s">
        <v>32</v>
      </c>
    </row>
    <row r="56" spans="1:25">
      <c r="A56" s="6"/>
      <c r="B56">
        <v>56</v>
      </c>
      <c r="C56">
        <v>187.297</v>
      </c>
      <c r="E56">
        <v>4</v>
      </c>
      <c r="G56">
        <f>AVERAGE(F42:F56)</f>
        <v>14307.857142857143</v>
      </c>
      <c r="H56">
        <v>56</v>
      </c>
      <c r="I56">
        <v>16416</v>
      </c>
      <c r="K56">
        <v>56</v>
      </c>
      <c r="L56">
        <v>15622</v>
      </c>
      <c r="Q56" t="s">
        <v>20</v>
      </c>
      <c r="R56">
        <v>2</v>
      </c>
      <c r="S56">
        <v>4</v>
      </c>
      <c r="T56" t="s">
        <v>24</v>
      </c>
      <c r="U56">
        <v>3</v>
      </c>
      <c r="V56">
        <v>4</v>
      </c>
      <c r="W56" t="s">
        <v>32</v>
      </c>
    </row>
    <row r="57" spans="1:25">
      <c r="A57" s="6"/>
      <c r="B57">
        <v>57</v>
      </c>
      <c r="C57">
        <v>190.51499999999999</v>
      </c>
      <c r="E57">
        <v>5</v>
      </c>
      <c r="F57">
        <v>15322</v>
      </c>
      <c r="G57">
        <f>_xlfn.STDEV.P(F42:F55)</f>
        <v>222.12089923631908</v>
      </c>
      <c r="H57">
        <v>57</v>
      </c>
      <c r="I57">
        <v>18985</v>
      </c>
      <c r="K57">
        <v>57</v>
      </c>
      <c r="L57">
        <v>18248</v>
      </c>
      <c r="Q57" t="s">
        <v>20</v>
      </c>
      <c r="R57">
        <v>1</v>
      </c>
      <c r="S57">
        <v>5</v>
      </c>
      <c r="T57" t="s">
        <v>21</v>
      </c>
      <c r="U57">
        <v>1</v>
      </c>
      <c r="V57">
        <v>2</v>
      </c>
      <c r="W57">
        <v>3</v>
      </c>
      <c r="X57" t="s">
        <v>31</v>
      </c>
    </row>
    <row r="58" spans="1:25">
      <c r="A58" s="6"/>
      <c r="B58">
        <v>58</v>
      </c>
      <c r="C58">
        <v>189.583</v>
      </c>
      <c r="E58">
        <v>5</v>
      </c>
      <c r="F58">
        <v>14966</v>
      </c>
      <c r="H58">
        <v>58</v>
      </c>
      <c r="I58">
        <v>18354</v>
      </c>
      <c r="K58">
        <v>58</v>
      </c>
      <c r="L58">
        <v>17561</v>
      </c>
      <c r="Q58" t="s">
        <v>20</v>
      </c>
      <c r="R58">
        <v>1</v>
      </c>
      <c r="S58">
        <v>5</v>
      </c>
      <c r="T58" t="s">
        <v>21</v>
      </c>
      <c r="U58">
        <v>1</v>
      </c>
      <c r="V58">
        <v>2</v>
      </c>
      <c r="W58">
        <v>3</v>
      </c>
      <c r="X58" t="s">
        <v>32</v>
      </c>
    </row>
    <row r="59" spans="1:25">
      <c r="A59" s="6"/>
      <c r="B59">
        <v>59</v>
      </c>
      <c r="C59">
        <v>189.49799999999999</v>
      </c>
      <c r="E59">
        <v>5</v>
      </c>
      <c r="F59">
        <v>14955</v>
      </c>
      <c r="H59">
        <v>59</v>
      </c>
      <c r="I59">
        <v>18248</v>
      </c>
      <c r="K59">
        <v>59</v>
      </c>
      <c r="L59">
        <v>17413</v>
      </c>
      <c r="Q59" t="s">
        <v>20</v>
      </c>
      <c r="R59">
        <v>1</v>
      </c>
      <c r="S59">
        <v>5</v>
      </c>
      <c r="T59" t="s">
        <v>21</v>
      </c>
      <c r="U59">
        <v>1</v>
      </c>
      <c r="V59">
        <v>2</v>
      </c>
      <c r="W59">
        <v>4</v>
      </c>
      <c r="X59" t="s">
        <v>32</v>
      </c>
    </row>
    <row r="60" spans="1:25">
      <c r="B60">
        <v>60</v>
      </c>
      <c r="C60">
        <v>189.42500000000001</v>
      </c>
      <c r="E60">
        <v>5</v>
      </c>
      <c r="F60">
        <v>14952</v>
      </c>
      <c r="H60">
        <v>60</v>
      </c>
      <c r="I60">
        <v>18203</v>
      </c>
      <c r="K60">
        <v>60</v>
      </c>
      <c r="L60">
        <v>17405</v>
      </c>
      <c r="Q60" t="s">
        <v>20</v>
      </c>
      <c r="R60">
        <v>1</v>
      </c>
      <c r="S60">
        <v>5</v>
      </c>
      <c r="T60" t="s">
        <v>21</v>
      </c>
      <c r="U60">
        <v>1</v>
      </c>
      <c r="V60">
        <v>3</v>
      </c>
      <c r="W60">
        <v>4</v>
      </c>
      <c r="X60" t="s">
        <v>32</v>
      </c>
    </row>
    <row r="61" spans="1:25">
      <c r="B61">
        <v>61</v>
      </c>
      <c r="C61">
        <v>189.36600000000001</v>
      </c>
      <c r="E61">
        <v>5</v>
      </c>
      <c r="F61">
        <v>14876</v>
      </c>
      <c r="H61">
        <v>61</v>
      </c>
      <c r="I61">
        <v>18046</v>
      </c>
      <c r="K61">
        <v>61</v>
      </c>
      <c r="L61">
        <v>17216</v>
      </c>
      <c r="Q61" t="s">
        <v>20</v>
      </c>
      <c r="R61">
        <v>1</v>
      </c>
      <c r="S61">
        <v>5</v>
      </c>
      <c r="T61" t="s">
        <v>21</v>
      </c>
      <c r="U61">
        <v>2</v>
      </c>
      <c r="V61">
        <v>3</v>
      </c>
      <c r="W61">
        <v>4</v>
      </c>
      <c r="X61" t="s">
        <v>32</v>
      </c>
    </row>
    <row r="62" spans="1:25">
      <c r="B62">
        <v>62</v>
      </c>
      <c r="C62">
        <v>189.31200000000001</v>
      </c>
      <c r="E62">
        <v>5</v>
      </c>
      <c r="G62">
        <f>AVERAGE(F57:F62)</f>
        <v>15014.2</v>
      </c>
      <c r="H62">
        <v>62</v>
      </c>
      <c r="I62">
        <v>18047</v>
      </c>
      <c r="K62">
        <v>62</v>
      </c>
      <c r="L62">
        <v>17208</v>
      </c>
      <c r="Q62" t="s">
        <v>20</v>
      </c>
      <c r="R62">
        <v>1</v>
      </c>
      <c r="S62">
        <v>5</v>
      </c>
      <c r="T62" t="s">
        <v>23</v>
      </c>
      <c r="U62">
        <v>2</v>
      </c>
      <c r="V62">
        <v>3</v>
      </c>
      <c r="W62">
        <v>4</v>
      </c>
      <c r="X62" t="s">
        <v>32</v>
      </c>
    </row>
    <row r="63" spans="1:25">
      <c r="B63">
        <v>63</v>
      </c>
      <c r="C63">
        <v>191.375</v>
      </c>
      <c r="E63">
        <v>6</v>
      </c>
      <c r="F63">
        <v>15639</v>
      </c>
      <c r="G63">
        <f>_xlfn.STDEV.P(F57:F62)</f>
        <v>157.18574999025833</v>
      </c>
      <c r="H63">
        <v>63</v>
      </c>
      <c r="I63">
        <v>19612</v>
      </c>
      <c r="K63">
        <v>63</v>
      </c>
      <c r="L63">
        <v>18875</v>
      </c>
      <c r="Q63" t="s">
        <v>20</v>
      </c>
      <c r="R63">
        <v>0</v>
      </c>
      <c r="S63">
        <v>6</v>
      </c>
      <c r="T63" t="s">
        <v>21</v>
      </c>
      <c r="U63">
        <v>1</v>
      </c>
      <c r="V63">
        <v>2</v>
      </c>
      <c r="W63">
        <v>3</v>
      </c>
      <c r="X63">
        <v>4</v>
      </c>
      <c r="Y63" t="s">
        <v>32</v>
      </c>
    </row>
    <row r="64" spans="1:25">
      <c r="K64">
        <v>64</v>
      </c>
      <c r="L64">
        <v>13329</v>
      </c>
    </row>
    <row r="65" spans="11:12">
      <c r="K65">
        <v>65</v>
      </c>
      <c r="L65">
        <v>13242</v>
      </c>
    </row>
    <row r="66" spans="11:12">
      <c r="K66">
        <v>66</v>
      </c>
      <c r="L66">
        <v>13231</v>
      </c>
    </row>
    <row r="67" spans="11:12">
      <c r="K67">
        <v>67</v>
      </c>
      <c r="L67">
        <v>13130</v>
      </c>
    </row>
    <row r="68" spans="11:12">
      <c r="K68">
        <v>68</v>
      </c>
      <c r="L68">
        <v>12800</v>
      </c>
    </row>
    <row r="69" spans="11:12">
      <c r="K69">
        <v>69</v>
      </c>
      <c r="L69">
        <v>13224</v>
      </c>
    </row>
    <row r="70" spans="11:12">
      <c r="K70">
        <v>70</v>
      </c>
      <c r="L70">
        <v>13173</v>
      </c>
    </row>
    <row r="71" spans="11:12">
      <c r="K71">
        <v>71</v>
      </c>
      <c r="L71">
        <v>13130</v>
      </c>
    </row>
    <row r="72" spans="11:12">
      <c r="K72">
        <v>72</v>
      </c>
      <c r="L72">
        <v>12800</v>
      </c>
    </row>
    <row r="73" spans="11:12">
      <c r="K73">
        <v>73</v>
      </c>
      <c r="L73">
        <v>13130</v>
      </c>
    </row>
    <row r="74" spans="11:12">
      <c r="K74">
        <v>74</v>
      </c>
      <c r="L74">
        <v>13066</v>
      </c>
    </row>
    <row r="75" spans="11:12">
      <c r="K75">
        <v>75</v>
      </c>
      <c r="L75">
        <v>12729</v>
      </c>
    </row>
    <row r="76" spans="11:12">
      <c r="K76">
        <v>76</v>
      </c>
      <c r="L76">
        <v>13018</v>
      </c>
    </row>
    <row r="77" spans="11:12">
      <c r="K77">
        <v>77</v>
      </c>
      <c r="L77">
        <v>12705</v>
      </c>
    </row>
    <row r="78" spans="11:12">
      <c r="K78">
        <v>78</v>
      </c>
      <c r="L78">
        <v>12628</v>
      </c>
    </row>
    <row r="79" spans="11:12">
      <c r="K79">
        <v>79</v>
      </c>
      <c r="L79">
        <v>14647</v>
      </c>
    </row>
    <row r="80" spans="11:12">
      <c r="K80">
        <v>80</v>
      </c>
      <c r="L80">
        <v>14652</v>
      </c>
    </row>
    <row r="81" spans="11:12">
      <c r="K81">
        <v>81</v>
      </c>
      <c r="L81">
        <v>14467</v>
      </c>
    </row>
    <row r="82" spans="11:12">
      <c r="K82">
        <v>82</v>
      </c>
      <c r="L82">
        <v>13840</v>
      </c>
    </row>
    <row r="83" spans="11:12">
      <c r="K83">
        <v>83</v>
      </c>
      <c r="L83">
        <v>14638</v>
      </c>
    </row>
    <row r="84" spans="11:12">
      <c r="K84">
        <v>84</v>
      </c>
      <c r="L84">
        <v>14442</v>
      </c>
    </row>
    <row r="85" spans="11:12">
      <c r="K85">
        <v>85</v>
      </c>
      <c r="L85">
        <v>13817</v>
      </c>
    </row>
    <row r="86" spans="11:12">
      <c r="K86">
        <v>86</v>
      </c>
      <c r="L86">
        <v>14434</v>
      </c>
    </row>
    <row r="87" spans="11:12">
      <c r="K87">
        <v>87</v>
      </c>
      <c r="L87">
        <v>13807</v>
      </c>
    </row>
    <row r="88" spans="11:12">
      <c r="K88">
        <v>88</v>
      </c>
      <c r="L88">
        <v>13689</v>
      </c>
    </row>
    <row r="89" spans="11:12">
      <c r="K89">
        <v>89</v>
      </c>
      <c r="L89">
        <v>14541</v>
      </c>
    </row>
    <row r="90" spans="11:12">
      <c r="K90">
        <v>90</v>
      </c>
      <c r="L90">
        <v>14440</v>
      </c>
    </row>
    <row r="91" spans="11:12">
      <c r="K91">
        <v>91</v>
      </c>
      <c r="L91">
        <v>13807</v>
      </c>
    </row>
    <row r="92" spans="11:12">
      <c r="K92">
        <v>92</v>
      </c>
      <c r="L92">
        <v>14453</v>
      </c>
    </row>
    <row r="93" spans="11:12">
      <c r="K93">
        <v>93</v>
      </c>
      <c r="L93">
        <v>13749</v>
      </c>
    </row>
    <row r="94" spans="11:12">
      <c r="K94">
        <v>94</v>
      </c>
      <c r="L94">
        <v>13685</v>
      </c>
    </row>
    <row r="95" spans="11:12">
      <c r="K95">
        <v>95</v>
      </c>
      <c r="L95">
        <v>14382</v>
      </c>
    </row>
    <row r="96" spans="11:12">
      <c r="K96">
        <v>96</v>
      </c>
      <c r="L96">
        <v>13685</v>
      </c>
    </row>
    <row r="97" spans="11:12">
      <c r="K97">
        <v>97</v>
      </c>
      <c r="L97">
        <v>13682</v>
      </c>
    </row>
    <row r="98" spans="11:12">
      <c r="K98">
        <v>98</v>
      </c>
      <c r="L98">
        <v>13641</v>
      </c>
    </row>
    <row r="99" spans="11:12">
      <c r="K99">
        <v>99</v>
      </c>
      <c r="L99">
        <v>16100</v>
      </c>
    </row>
    <row r="100" spans="11:12">
      <c r="K100">
        <v>100</v>
      </c>
      <c r="L100">
        <v>16100</v>
      </c>
    </row>
    <row r="101" spans="11:12">
      <c r="K101">
        <v>101</v>
      </c>
      <c r="L101">
        <v>15322</v>
      </c>
    </row>
    <row r="102" spans="11:12">
      <c r="K102">
        <v>102</v>
      </c>
      <c r="L102">
        <v>15941</v>
      </c>
    </row>
    <row r="103" spans="11:12">
      <c r="K103">
        <v>103</v>
      </c>
      <c r="L103">
        <v>15255</v>
      </c>
    </row>
    <row r="104" spans="11:12">
      <c r="K104">
        <v>104</v>
      </c>
      <c r="L104">
        <v>15103</v>
      </c>
    </row>
    <row r="105" spans="11:12">
      <c r="K105">
        <v>105</v>
      </c>
      <c r="L105">
        <v>15888</v>
      </c>
    </row>
    <row r="106" spans="11:12">
      <c r="K106">
        <v>106</v>
      </c>
      <c r="L106">
        <v>15190</v>
      </c>
    </row>
    <row r="107" spans="11:12">
      <c r="K107">
        <v>107</v>
      </c>
      <c r="L107">
        <v>15060</v>
      </c>
    </row>
    <row r="108" spans="11:12">
      <c r="K108">
        <v>108</v>
      </c>
      <c r="L108">
        <v>14998</v>
      </c>
    </row>
    <row r="109" spans="11:12">
      <c r="K109">
        <v>109</v>
      </c>
      <c r="L109">
        <v>15882</v>
      </c>
    </row>
    <row r="110" spans="11:12">
      <c r="K110">
        <v>110</v>
      </c>
      <c r="L110">
        <v>15204</v>
      </c>
    </row>
    <row r="111" spans="11:12">
      <c r="K111">
        <v>111</v>
      </c>
      <c r="L111">
        <v>15055</v>
      </c>
    </row>
    <row r="112" spans="11:12">
      <c r="K112">
        <v>112</v>
      </c>
      <c r="L112">
        <v>14987</v>
      </c>
    </row>
    <row r="113" spans="11:12">
      <c r="K113">
        <v>113</v>
      </c>
      <c r="L113">
        <v>14985</v>
      </c>
    </row>
    <row r="114" spans="11:12">
      <c r="K114">
        <v>114</v>
      </c>
      <c r="L114">
        <v>17408</v>
      </c>
    </row>
    <row r="115" spans="11:12">
      <c r="K115">
        <v>115</v>
      </c>
      <c r="L115">
        <v>16769</v>
      </c>
    </row>
    <row r="116" spans="11:12">
      <c r="K116">
        <v>116</v>
      </c>
      <c r="L116">
        <v>16619</v>
      </c>
    </row>
    <row r="117" spans="11:12">
      <c r="K117">
        <v>117</v>
      </c>
      <c r="L117">
        <v>16576</v>
      </c>
    </row>
    <row r="118" spans="11:12">
      <c r="K118">
        <v>118</v>
      </c>
      <c r="L118">
        <v>16512</v>
      </c>
    </row>
    <row r="119" spans="11:12">
      <c r="K119">
        <v>119</v>
      </c>
      <c r="L119">
        <v>16453</v>
      </c>
    </row>
    <row r="120" spans="11:12">
      <c r="K120">
        <v>120</v>
      </c>
      <c r="L120">
        <v>18043</v>
      </c>
    </row>
    <row r="121" spans="11:12">
      <c r="K121">
        <v>121</v>
      </c>
      <c r="L121">
        <v>13998</v>
      </c>
    </row>
    <row r="122" spans="11:12">
      <c r="K122">
        <v>122</v>
      </c>
      <c r="L122">
        <v>13937</v>
      </c>
    </row>
    <row r="123" spans="11:12">
      <c r="K123">
        <v>123</v>
      </c>
      <c r="L123">
        <v>13891</v>
      </c>
    </row>
    <row r="124" spans="11:12">
      <c r="K124">
        <v>124</v>
      </c>
      <c r="L124">
        <v>13558</v>
      </c>
    </row>
    <row r="125" spans="11:12">
      <c r="K125">
        <v>125</v>
      </c>
      <c r="L125">
        <v>13942</v>
      </c>
    </row>
    <row r="126" spans="11:12">
      <c r="K126">
        <v>126</v>
      </c>
      <c r="L126">
        <v>13845</v>
      </c>
    </row>
    <row r="127" spans="11:12">
      <c r="K127">
        <v>127</v>
      </c>
      <c r="L127">
        <v>13528</v>
      </c>
    </row>
    <row r="128" spans="11:12">
      <c r="K128">
        <v>128</v>
      </c>
      <c r="L128">
        <v>13816</v>
      </c>
    </row>
    <row r="129" spans="11:12">
      <c r="K129">
        <v>129</v>
      </c>
      <c r="L129">
        <v>13488</v>
      </c>
    </row>
    <row r="130" spans="11:12">
      <c r="K130">
        <v>130</v>
      </c>
      <c r="L130">
        <v>13425</v>
      </c>
    </row>
    <row r="131" spans="11:12">
      <c r="K131">
        <v>131</v>
      </c>
      <c r="L131">
        <v>13845</v>
      </c>
    </row>
    <row r="132" spans="11:12">
      <c r="K132">
        <v>132</v>
      </c>
      <c r="L132">
        <v>13816</v>
      </c>
    </row>
    <row r="133" spans="11:12">
      <c r="K133">
        <v>133</v>
      </c>
      <c r="L133">
        <v>13488</v>
      </c>
    </row>
    <row r="134" spans="11:12">
      <c r="K134">
        <v>134</v>
      </c>
      <c r="L134">
        <v>13807</v>
      </c>
    </row>
    <row r="135" spans="11:12">
      <c r="K135">
        <v>135</v>
      </c>
      <c r="L135">
        <v>13425</v>
      </c>
    </row>
    <row r="136" spans="11:12">
      <c r="K136">
        <v>136</v>
      </c>
      <c r="L136">
        <v>13365</v>
      </c>
    </row>
    <row r="137" spans="11:12">
      <c r="K137">
        <v>137</v>
      </c>
      <c r="L137">
        <v>13749</v>
      </c>
    </row>
    <row r="138" spans="11:12">
      <c r="K138">
        <v>138</v>
      </c>
      <c r="L138">
        <v>13421</v>
      </c>
    </row>
    <row r="139" spans="11:12">
      <c r="K139">
        <v>139</v>
      </c>
      <c r="L139">
        <v>13361</v>
      </c>
    </row>
    <row r="140" spans="11:12">
      <c r="K140">
        <v>140</v>
      </c>
      <c r="L140">
        <v>13332</v>
      </c>
    </row>
    <row r="141" spans="11:12">
      <c r="K141">
        <v>141</v>
      </c>
      <c r="L141">
        <v>15387</v>
      </c>
    </row>
    <row r="142" spans="11:12">
      <c r="K142">
        <v>142</v>
      </c>
      <c r="L142">
        <v>15258</v>
      </c>
    </row>
    <row r="143" spans="11:12">
      <c r="K143">
        <v>143</v>
      </c>
      <c r="L143">
        <v>14647</v>
      </c>
    </row>
    <row r="144" spans="11:12">
      <c r="K144">
        <v>144</v>
      </c>
      <c r="L144">
        <v>15250</v>
      </c>
    </row>
    <row r="145" spans="11:12">
      <c r="K145">
        <v>145</v>
      </c>
      <c r="L145">
        <v>14570</v>
      </c>
    </row>
    <row r="146" spans="11:12">
      <c r="K146">
        <v>146</v>
      </c>
      <c r="L146">
        <v>14422</v>
      </c>
    </row>
    <row r="147" spans="11:12">
      <c r="K147">
        <v>147</v>
      </c>
      <c r="L147">
        <v>15193</v>
      </c>
    </row>
    <row r="148" spans="11:12">
      <c r="K148">
        <v>148</v>
      </c>
      <c r="L148">
        <v>14482</v>
      </c>
    </row>
    <row r="149" spans="11:12">
      <c r="K149">
        <v>149</v>
      </c>
      <c r="L149">
        <v>14440</v>
      </c>
    </row>
    <row r="150" spans="11:12">
      <c r="K150">
        <v>150</v>
      </c>
      <c r="L150">
        <v>14442</v>
      </c>
    </row>
    <row r="151" spans="11:12">
      <c r="K151">
        <v>151</v>
      </c>
      <c r="L151">
        <v>15165</v>
      </c>
    </row>
    <row r="152" spans="11:12">
      <c r="K152">
        <v>152</v>
      </c>
      <c r="L152">
        <v>14437</v>
      </c>
    </row>
    <row r="153" spans="11:12">
      <c r="K153">
        <v>153</v>
      </c>
      <c r="L153">
        <v>14439</v>
      </c>
    </row>
    <row r="154" spans="11:12">
      <c r="K154">
        <v>154</v>
      </c>
      <c r="L154">
        <v>14372</v>
      </c>
    </row>
    <row r="155" spans="11:12">
      <c r="K155">
        <v>155</v>
      </c>
      <c r="L155">
        <v>14318</v>
      </c>
    </row>
    <row r="156" spans="11:12">
      <c r="K156">
        <v>156</v>
      </c>
      <c r="L156">
        <v>16715</v>
      </c>
    </row>
    <row r="157" spans="11:12">
      <c r="K157">
        <v>157</v>
      </c>
      <c r="L157">
        <v>15944</v>
      </c>
    </row>
    <row r="158" spans="11:12">
      <c r="K158">
        <v>158</v>
      </c>
      <c r="L158">
        <v>15874</v>
      </c>
    </row>
    <row r="159" spans="11:12">
      <c r="K159">
        <v>159</v>
      </c>
      <c r="L159">
        <v>15847</v>
      </c>
    </row>
    <row r="160" spans="11:12">
      <c r="K160">
        <v>160</v>
      </c>
      <c r="L160">
        <v>15838</v>
      </c>
    </row>
    <row r="161" spans="11:12">
      <c r="K161">
        <v>161</v>
      </c>
      <c r="L161">
        <v>15737</v>
      </c>
    </row>
    <row r="162" spans="11:12">
      <c r="K162">
        <v>162</v>
      </c>
      <c r="L162">
        <v>17343</v>
      </c>
    </row>
    <row r="163" spans="11:12">
      <c r="K163">
        <v>163</v>
      </c>
      <c r="L163">
        <v>14657</v>
      </c>
    </row>
    <row r="164" spans="11:12">
      <c r="K164">
        <v>164</v>
      </c>
      <c r="L164">
        <v>14652</v>
      </c>
    </row>
    <row r="165" spans="11:12">
      <c r="K165">
        <v>165</v>
      </c>
      <c r="L165">
        <v>14290</v>
      </c>
    </row>
    <row r="166" spans="11:12">
      <c r="K166">
        <v>166</v>
      </c>
      <c r="L166">
        <v>14641</v>
      </c>
    </row>
    <row r="167" spans="11:12">
      <c r="K167">
        <v>167</v>
      </c>
      <c r="L167">
        <v>14237</v>
      </c>
    </row>
    <row r="168" spans="11:12">
      <c r="K168">
        <v>168</v>
      </c>
      <c r="L168">
        <v>14147</v>
      </c>
    </row>
    <row r="169" spans="11:12">
      <c r="K169">
        <v>169</v>
      </c>
      <c r="L169">
        <v>14527</v>
      </c>
    </row>
    <row r="170" spans="11:12">
      <c r="K170">
        <v>170</v>
      </c>
      <c r="L170">
        <v>14178</v>
      </c>
    </row>
    <row r="171" spans="11:12">
      <c r="K171">
        <v>171</v>
      </c>
      <c r="L171">
        <v>14100</v>
      </c>
    </row>
    <row r="172" spans="11:12">
      <c r="K172">
        <v>172</v>
      </c>
      <c r="L172">
        <v>14112</v>
      </c>
    </row>
    <row r="173" spans="11:12">
      <c r="K173">
        <v>173</v>
      </c>
      <c r="L173">
        <v>14477</v>
      </c>
    </row>
    <row r="174" spans="11:12">
      <c r="K174">
        <v>174</v>
      </c>
      <c r="L174">
        <v>14100</v>
      </c>
    </row>
    <row r="175" spans="11:12">
      <c r="K175">
        <v>175</v>
      </c>
      <c r="L175">
        <v>14105</v>
      </c>
    </row>
    <row r="176" spans="11:12">
      <c r="K176">
        <v>176</v>
      </c>
      <c r="L176">
        <v>14087</v>
      </c>
    </row>
    <row r="177" spans="11:12">
      <c r="K177">
        <v>177</v>
      </c>
      <c r="L177">
        <v>13969</v>
      </c>
    </row>
    <row r="178" spans="11:12">
      <c r="K178">
        <v>178</v>
      </c>
      <c r="L178">
        <v>15971</v>
      </c>
    </row>
    <row r="179" spans="11:12">
      <c r="K179">
        <v>179</v>
      </c>
      <c r="L179">
        <v>15255</v>
      </c>
    </row>
    <row r="180" spans="11:12">
      <c r="K180">
        <v>180</v>
      </c>
      <c r="L180">
        <v>15255</v>
      </c>
    </row>
    <row r="181" spans="11:12">
      <c r="K181">
        <v>181</v>
      </c>
      <c r="L181">
        <v>15188</v>
      </c>
    </row>
    <row r="182" spans="11:12">
      <c r="K182">
        <v>182</v>
      </c>
      <c r="L182">
        <v>15170</v>
      </c>
    </row>
    <row r="183" spans="11:12">
      <c r="K183">
        <v>183</v>
      </c>
      <c r="L183">
        <v>15074</v>
      </c>
    </row>
    <row r="184" spans="11:12">
      <c r="K184">
        <v>184</v>
      </c>
      <c r="L184">
        <v>16568</v>
      </c>
    </row>
    <row r="185" spans="11:12">
      <c r="K185">
        <v>185</v>
      </c>
      <c r="L185">
        <v>15322</v>
      </c>
    </row>
    <row r="186" spans="11:12">
      <c r="K186">
        <v>186</v>
      </c>
      <c r="L186">
        <v>14966</v>
      </c>
    </row>
    <row r="187" spans="11:12">
      <c r="K187">
        <v>187</v>
      </c>
      <c r="L187">
        <v>14955</v>
      </c>
    </row>
    <row r="188" spans="11:12">
      <c r="K188">
        <v>188</v>
      </c>
      <c r="L188">
        <v>14952</v>
      </c>
    </row>
    <row r="189" spans="11:12">
      <c r="K189">
        <v>189</v>
      </c>
      <c r="L189">
        <v>14876</v>
      </c>
    </row>
    <row r="190" spans="11:12">
      <c r="K190">
        <v>190</v>
      </c>
      <c r="L190">
        <v>14789</v>
      </c>
    </row>
    <row r="191" spans="11:12">
      <c r="K191">
        <v>191</v>
      </c>
      <c r="L191">
        <v>15941</v>
      </c>
    </row>
    <row r="192" spans="11:12">
      <c r="K192">
        <v>192</v>
      </c>
      <c r="L192">
        <v>15639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ABA5-D981-4874-B249-293FA42CFE32}">
  <dimension ref="A1:S63"/>
  <sheetViews>
    <sheetView workbookViewId="0">
      <selection activeCell="D1" sqref="D1:S20"/>
    </sheetView>
  </sheetViews>
  <sheetFormatPr defaultRowHeight="14.25"/>
  <sheetData>
    <row r="1" spans="1:19">
      <c r="A1" t="s">
        <v>20</v>
      </c>
      <c r="B1">
        <v>5</v>
      </c>
      <c r="C1">
        <v>1</v>
      </c>
      <c r="D1" t="s">
        <v>21</v>
      </c>
      <c r="E1" t="s">
        <v>22</v>
      </c>
      <c r="F1" t="s">
        <v>21</v>
      </c>
      <c r="G1" t="s">
        <v>28</v>
      </c>
      <c r="H1" t="s">
        <v>21</v>
      </c>
      <c r="I1">
        <v>1</v>
      </c>
      <c r="J1" t="s">
        <v>29</v>
      </c>
      <c r="K1" t="s">
        <v>21</v>
      </c>
      <c r="L1">
        <v>1</v>
      </c>
      <c r="M1">
        <v>2</v>
      </c>
      <c r="N1" t="s">
        <v>30</v>
      </c>
      <c r="O1" t="s">
        <v>21</v>
      </c>
      <c r="P1">
        <v>1</v>
      </c>
      <c r="Q1">
        <v>2</v>
      </c>
      <c r="R1">
        <v>3</v>
      </c>
      <c r="S1" t="s">
        <v>31</v>
      </c>
    </row>
    <row r="2" spans="1:19">
      <c r="A2" t="s">
        <v>20</v>
      </c>
      <c r="B2">
        <v>5</v>
      </c>
      <c r="C2">
        <v>1</v>
      </c>
      <c r="D2" t="s">
        <v>23</v>
      </c>
      <c r="E2" t="s">
        <v>22</v>
      </c>
      <c r="F2" t="s">
        <v>21</v>
      </c>
      <c r="G2" t="s">
        <v>29</v>
      </c>
      <c r="H2" t="s">
        <v>21</v>
      </c>
      <c r="I2">
        <v>1</v>
      </c>
      <c r="J2" t="s">
        <v>30</v>
      </c>
      <c r="K2" t="s">
        <v>21</v>
      </c>
      <c r="L2">
        <v>1</v>
      </c>
      <c r="M2">
        <v>2</v>
      </c>
      <c r="N2" t="s">
        <v>31</v>
      </c>
      <c r="O2" t="s">
        <v>21</v>
      </c>
      <c r="P2">
        <v>1</v>
      </c>
      <c r="Q2">
        <v>2</v>
      </c>
      <c r="R2">
        <v>3</v>
      </c>
      <c r="S2" t="s">
        <v>32</v>
      </c>
    </row>
    <row r="3" spans="1:19">
      <c r="A3" t="s">
        <v>20</v>
      </c>
      <c r="B3">
        <v>5</v>
      </c>
      <c r="C3">
        <v>1</v>
      </c>
      <c r="D3" t="s">
        <v>24</v>
      </c>
      <c r="E3" t="s">
        <v>22</v>
      </c>
      <c r="F3" t="s">
        <v>21</v>
      </c>
      <c r="G3" t="s">
        <v>30</v>
      </c>
      <c r="H3" t="s">
        <v>21</v>
      </c>
      <c r="I3">
        <v>1</v>
      </c>
      <c r="J3" t="s">
        <v>31</v>
      </c>
      <c r="K3" t="s">
        <v>21</v>
      </c>
      <c r="L3">
        <v>1</v>
      </c>
      <c r="M3">
        <v>2</v>
      </c>
      <c r="N3" t="s">
        <v>32</v>
      </c>
      <c r="O3" t="s">
        <v>21</v>
      </c>
      <c r="P3">
        <v>1</v>
      </c>
      <c r="Q3">
        <v>2</v>
      </c>
      <c r="R3">
        <v>4</v>
      </c>
      <c r="S3" t="s">
        <v>32</v>
      </c>
    </row>
    <row r="4" spans="1:19">
      <c r="A4" t="s">
        <v>20</v>
      </c>
      <c r="B4">
        <v>5</v>
      </c>
      <c r="C4">
        <v>1</v>
      </c>
      <c r="D4" t="s">
        <v>25</v>
      </c>
      <c r="E4" t="s">
        <v>22</v>
      </c>
      <c r="F4" t="s">
        <v>21</v>
      </c>
      <c r="G4" t="s">
        <v>31</v>
      </c>
      <c r="H4" t="s">
        <v>21</v>
      </c>
      <c r="I4">
        <v>1</v>
      </c>
      <c r="J4" t="s">
        <v>32</v>
      </c>
      <c r="K4" t="s">
        <v>21</v>
      </c>
      <c r="L4">
        <v>1</v>
      </c>
      <c r="M4">
        <v>3</v>
      </c>
      <c r="N4" t="s">
        <v>31</v>
      </c>
      <c r="O4" t="s">
        <v>21</v>
      </c>
      <c r="P4">
        <v>1</v>
      </c>
      <c r="Q4">
        <v>3</v>
      </c>
      <c r="R4">
        <v>4</v>
      </c>
      <c r="S4" t="s">
        <v>32</v>
      </c>
    </row>
    <row r="5" spans="1:19">
      <c r="A5" t="s">
        <v>20</v>
      </c>
      <c r="B5">
        <v>5</v>
      </c>
      <c r="C5">
        <v>1</v>
      </c>
      <c r="D5" t="s">
        <v>26</v>
      </c>
      <c r="E5" t="s">
        <v>22</v>
      </c>
      <c r="F5" t="s">
        <v>21</v>
      </c>
      <c r="G5" t="s">
        <v>32</v>
      </c>
      <c r="H5" t="s">
        <v>21</v>
      </c>
      <c r="I5">
        <v>2</v>
      </c>
      <c r="J5" t="s">
        <v>30</v>
      </c>
      <c r="K5" t="s">
        <v>21</v>
      </c>
      <c r="L5">
        <v>1</v>
      </c>
      <c r="M5">
        <v>3</v>
      </c>
      <c r="N5" t="s">
        <v>32</v>
      </c>
      <c r="O5" t="s">
        <v>21</v>
      </c>
      <c r="P5">
        <v>2</v>
      </c>
      <c r="Q5">
        <v>3</v>
      </c>
      <c r="R5">
        <v>4</v>
      </c>
      <c r="S5" t="s">
        <v>32</v>
      </c>
    </row>
    <row r="6" spans="1:19">
      <c r="A6" t="s">
        <v>20</v>
      </c>
      <c r="B6">
        <v>5</v>
      </c>
      <c r="C6">
        <v>1</v>
      </c>
      <c r="D6" t="s">
        <v>27</v>
      </c>
      <c r="E6" t="s">
        <v>22</v>
      </c>
      <c r="F6" t="s">
        <v>23</v>
      </c>
      <c r="G6" t="s">
        <v>29</v>
      </c>
      <c r="H6" t="s">
        <v>21</v>
      </c>
      <c r="I6">
        <v>2</v>
      </c>
      <c r="J6" t="s">
        <v>31</v>
      </c>
      <c r="K6" t="s">
        <v>21</v>
      </c>
      <c r="L6">
        <v>1</v>
      </c>
      <c r="M6">
        <v>4</v>
      </c>
      <c r="N6" t="s">
        <v>32</v>
      </c>
      <c r="O6" t="s">
        <v>23</v>
      </c>
      <c r="P6">
        <v>2</v>
      </c>
      <c r="Q6">
        <v>3</v>
      </c>
      <c r="R6">
        <v>4</v>
      </c>
      <c r="S6" t="s">
        <v>32</v>
      </c>
    </row>
    <row r="7" spans="1:19">
      <c r="A7" t="s">
        <v>20</v>
      </c>
      <c r="B7">
        <v>4</v>
      </c>
      <c r="C7">
        <v>2</v>
      </c>
      <c r="F7" t="s">
        <v>23</v>
      </c>
      <c r="G7" t="s">
        <v>30</v>
      </c>
      <c r="H7" t="s">
        <v>21</v>
      </c>
      <c r="I7">
        <v>2</v>
      </c>
      <c r="J7" t="s">
        <v>32</v>
      </c>
      <c r="K7" t="s">
        <v>21</v>
      </c>
      <c r="L7">
        <v>2</v>
      </c>
      <c r="M7">
        <v>3</v>
      </c>
      <c r="N7" t="s">
        <v>31</v>
      </c>
    </row>
    <row r="8" spans="1:19">
      <c r="A8" t="s">
        <v>20</v>
      </c>
      <c r="B8">
        <v>4</v>
      </c>
      <c r="C8">
        <v>2</v>
      </c>
      <c r="F8" t="s">
        <v>23</v>
      </c>
      <c r="G8" t="s">
        <v>31</v>
      </c>
      <c r="H8" t="s">
        <v>21</v>
      </c>
      <c r="I8">
        <v>3</v>
      </c>
      <c r="J8" t="s">
        <v>31</v>
      </c>
      <c r="K8" t="s">
        <v>21</v>
      </c>
      <c r="L8">
        <v>2</v>
      </c>
      <c r="M8">
        <v>3</v>
      </c>
      <c r="N8" t="s">
        <v>32</v>
      </c>
    </row>
    <row r="9" spans="1:19">
      <c r="A9" t="s">
        <v>20</v>
      </c>
      <c r="B9">
        <v>4</v>
      </c>
      <c r="C9">
        <v>2</v>
      </c>
      <c r="F9" t="s">
        <v>23</v>
      </c>
      <c r="G9" t="s">
        <v>32</v>
      </c>
      <c r="H9" t="s">
        <v>21</v>
      </c>
      <c r="I9">
        <v>3</v>
      </c>
      <c r="J9" t="s">
        <v>32</v>
      </c>
      <c r="K9" t="s">
        <v>21</v>
      </c>
      <c r="L9">
        <v>2</v>
      </c>
      <c r="M9">
        <v>4</v>
      </c>
      <c r="N9" t="s">
        <v>32</v>
      </c>
    </row>
    <row r="10" spans="1:19">
      <c r="A10" t="s">
        <v>20</v>
      </c>
      <c r="B10">
        <v>4</v>
      </c>
      <c r="C10">
        <v>2</v>
      </c>
      <c r="F10" t="s">
        <v>24</v>
      </c>
      <c r="G10" t="s">
        <v>30</v>
      </c>
      <c r="H10" t="s">
        <v>21</v>
      </c>
      <c r="I10">
        <v>4</v>
      </c>
      <c r="J10" t="s">
        <v>32</v>
      </c>
      <c r="K10" t="s">
        <v>21</v>
      </c>
      <c r="L10">
        <v>3</v>
      </c>
      <c r="M10">
        <v>4</v>
      </c>
      <c r="N10" t="s">
        <v>32</v>
      </c>
    </row>
    <row r="11" spans="1:19">
      <c r="A11" t="s">
        <v>20</v>
      </c>
      <c r="B11">
        <v>4</v>
      </c>
      <c r="C11">
        <v>2</v>
      </c>
      <c r="F11" t="s">
        <v>24</v>
      </c>
      <c r="G11" t="s">
        <v>31</v>
      </c>
      <c r="H11" t="s">
        <v>23</v>
      </c>
      <c r="I11">
        <v>2</v>
      </c>
      <c r="J11" t="s">
        <v>30</v>
      </c>
      <c r="K11" t="s">
        <v>23</v>
      </c>
      <c r="L11">
        <v>2</v>
      </c>
      <c r="M11">
        <v>3</v>
      </c>
      <c r="N11" t="s">
        <v>31</v>
      </c>
    </row>
    <row r="12" spans="1:19">
      <c r="A12" t="s">
        <v>20</v>
      </c>
      <c r="B12">
        <v>4</v>
      </c>
      <c r="C12">
        <v>2</v>
      </c>
      <c r="F12" t="s">
        <v>24</v>
      </c>
      <c r="G12" t="s">
        <v>32</v>
      </c>
      <c r="H12" t="s">
        <v>23</v>
      </c>
      <c r="I12">
        <v>2</v>
      </c>
      <c r="J12" t="s">
        <v>31</v>
      </c>
      <c r="K12" t="s">
        <v>23</v>
      </c>
      <c r="L12">
        <v>2</v>
      </c>
      <c r="M12">
        <v>3</v>
      </c>
      <c r="N12" t="s">
        <v>32</v>
      </c>
    </row>
    <row r="13" spans="1:19">
      <c r="A13" t="s">
        <v>20</v>
      </c>
      <c r="B13">
        <v>4</v>
      </c>
      <c r="C13">
        <v>2</v>
      </c>
      <c r="F13" t="s">
        <v>25</v>
      </c>
      <c r="G13" t="s">
        <v>31</v>
      </c>
      <c r="H13" t="s">
        <v>23</v>
      </c>
      <c r="I13">
        <v>2</v>
      </c>
      <c r="J13" t="s">
        <v>32</v>
      </c>
      <c r="K13" t="s">
        <v>23</v>
      </c>
      <c r="L13">
        <v>2</v>
      </c>
      <c r="M13">
        <v>4</v>
      </c>
      <c r="N13" t="s">
        <v>32</v>
      </c>
    </row>
    <row r="14" spans="1:19">
      <c r="A14" t="s">
        <v>20</v>
      </c>
      <c r="B14">
        <v>4</v>
      </c>
      <c r="C14">
        <v>2</v>
      </c>
      <c r="F14" t="s">
        <v>25</v>
      </c>
      <c r="G14" t="s">
        <v>32</v>
      </c>
      <c r="H14" t="s">
        <v>23</v>
      </c>
      <c r="I14">
        <v>3</v>
      </c>
      <c r="J14" t="s">
        <v>31</v>
      </c>
      <c r="K14" t="s">
        <v>23</v>
      </c>
      <c r="L14">
        <v>3</v>
      </c>
      <c r="M14">
        <v>4</v>
      </c>
      <c r="N14" t="s">
        <v>32</v>
      </c>
    </row>
    <row r="15" spans="1:19">
      <c r="A15" t="s">
        <v>20</v>
      </c>
      <c r="B15">
        <v>4</v>
      </c>
      <c r="C15">
        <v>2</v>
      </c>
      <c r="F15" t="s">
        <v>26</v>
      </c>
      <c r="G15" t="s">
        <v>32</v>
      </c>
      <c r="H15" t="s">
        <v>23</v>
      </c>
      <c r="I15">
        <v>3</v>
      </c>
      <c r="J15" t="s">
        <v>32</v>
      </c>
      <c r="K15" t="s">
        <v>24</v>
      </c>
      <c r="L15">
        <v>3</v>
      </c>
      <c r="M15">
        <v>4</v>
      </c>
      <c r="N15" t="s">
        <v>32</v>
      </c>
    </row>
    <row r="16" spans="1:19">
      <c r="A16" t="s">
        <v>20</v>
      </c>
      <c r="B16">
        <v>4</v>
      </c>
      <c r="C16">
        <v>2</v>
      </c>
      <c r="H16" t="s">
        <v>23</v>
      </c>
      <c r="I16">
        <v>4</v>
      </c>
      <c r="J16" t="s">
        <v>32</v>
      </c>
    </row>
    <row r="17" spans="1:10">
      <c r="A17" t="s">
        <v>20</v>
      </c>
      <c r="B17">
        <v>4</v>
      </c>
      <c r="C17">
        <v>2</v>
      </c>
      <c r="H17" t="s">
        <v>24</v>
      </c>
      <c r="I17">
        <v>3</v>
      </c>
      <c r="J17" t="s">
        <v>31</v>
      </c>
    </row>
    <row r="18" spans="1:10">
      <c r="A18" t="s">
        <v>20</v>
      </c>
      <c r="B18">
        <v>4</v>
      </c>
      <c r="C18">
        <v>2</v>
      </c>
      <c r="H18" t="s">
        <v>24</v>
      </c>
      <c r="I18">
        <v>3</v>
      </c>
      <c r="J18" t="s">
        <v>32</v>
      </c>
    </row>
    <row r="19" spans="1:10">
      <c r="A19" t="s">
        <v>20</v>
      </c>
      <c r="B19">
        <v>4</v>
      </c>
      <c r="C19">
        <v>2</v>
      </c>
      <c r="H19" t="s">
        <v>24</v>
      </c>
      <c r="I19">
        <v>4</v>
      </c>
      <c r="J19" t="s">
        <v>32</v>
      </c>
    </row>
    <row r="20" spans="1:10">
      <c r="A20" t="s">
        <v>20</v>
      </c>
      <c r="B20">
        <v>4</v>
      </c>
      <c r="C20">
        <v>2</v>
      </c>
      <c r="H20" t="s">
        <v>25</v>
      </c>
      <c r="I20">
        <v>4</v>
      </c>
      <c r="J20" t="s">
        <v>32</v>
      </c>
    </row>
    <row r="21" spans="1:10">
      <c r="A21" t="s">
        <v>20</v>
      </c>
      <c r="B21">
        <v>4</v>
      </c>
      <c r="C21">
        <v>2</v>
      </c>
    </row>
    <row r="22" spans="1:10">
      <c r="A22" t="s">
        <v>20</v>
      </c>
      <c r="B22">
        <v>3</v>
      </c>
      <c r="C22">
        <v>3</v>
      </c>
    </row>
    <row r="23" spans="1:10">
      <c r="A23" t="s">
        <v>20</v>
      </c>
      <c r="B23">
        <v>3</v>
      </c>
      <c r="C23">
        <v>3</v>
      </c>
    </row>
    <row r="24" spans="1:10">
      <c r="A24" t="s">
        <v>20</v>
      </c>
      <c r="B24">
        <v>3</v>
      </c>
      <c r="C24">
        <v>3</v>
      </c>
    </row>
    <row r="25" spans="1:10">
      <c r="A25" t="s">
        <v>20</v>
      </c>
      <c r="B25">
        <v>3</v>
      </c>
      <c r="C25">
        <v>3</v>
      </c>
    </row>
    <row r="26" spans="1:10">
      <c r="A26" t="s">
        <v>20</v>
      </c>
      <c r="B26">
        <v>3</v>
      </c>
      <c r="C26">
        <v>3</v>
      </c>
    </row>
    <row r="27" spans="1:10">
      <c r="A27" t="s">
        <v>20</v>
      </c>
      <c r="B27">
        <v>3</v>
      </c>
      <c r="C27">
        <v>3</v>
      </c>
    </row>
    <row r="28" spans="1:10">
      <c r="A28" t="s">
        <v>20</v>
      </c>
      <c r="B28">
        <v>3</v>
      </c>
      <c r="C28">
        <v>3</v>
      </c>
    </row>
    <row r="29" spans="1:10">
      <c r="A29" t="s">
        <v>20</v>
      </c>
      <c r="B29">
        <v>3</v>
      </c>
      <c r="C29">
        <v>3</v>
      </c>
    </row>
    <row r="30" spans="1:10">
      <c r="A30" t="s">
        <v>20</v>
      </c>
      <c r="B30">
        <v>3</v>
      </c>
      <c r="C30">
        <v>3</v>
      </c>
    </row>
    <row r="31" spans="1:10">
      <c r="A31" t="s">
        <v>20</v>
      </c>
      <c r="B31">
        <v>3</v>
      </c>
      <c r="C31">
        <v>3</v>
      </c>
    </row>
    <row r="32" spans="1:10">
      <c r="A32" t="s">
        <v>20</v>
      </c>
      <c r="B32">
        <v>3</v>
      </c>
      <c r="C32">
        <v>3</v>
      </c>
    </row>
    <row r="33" spans="1:3">
      <c r="A33" t="s">
        <v>20</v>
      </c>
      <c r="B33">
        <v>3</v>
      </c>
      <c r="C33">
        <v>3</v>
      </c>
    </row>
    <row r="34" spans="1:3">
      <c r="A34" t="s">
        <v>20</v>
      </c>
      <c r="B34">
        <v>3</v>
      </c>
      <c r="C34">
        <v>3</v>
      </c>
    </row>
    <row r="35" spans="1:3">
      <c r="A35" t="s">
        <v>20</v>
      </c>
      <c r="B35">
        <v>3</v>
      </c>
      <c r="C35">
        <v>3</v>
      </c>
    </row>
    <row r="36" spans="1:3">
      <c r="A36" t="s">
        <v>20</v>
      </c>
      <c r="B36">
        <v>3</v>
      </c>
      <c r="C36">
        <v>3</v>
      </c>
    </row>
    <row r="37" spans="1:3">
      <c r="A37" t="s">
        <v>20</v>
      </c>
      <c r="B37">
        <v>3</v>
      </c>
      <c r="C37">
        <v>3</v>
      </c>
    </row>
    <row r="38" spans="1:3">
      <c r="A38" t="s">
        <v>20</v>
      </c>
      <c r="B38">
        <v>3</v>
      </c>
      <c r="C38">
        <v>3</v>
      </c>
    </row>
    <row r="39" spans="1:3">
      <c r="A39" t="s">
        <v>20</v>
      </c>
      <c r="B39">
        <v>3</v>
      </c>
      <c r="C39">
        <v>3</v>
      </c>
    </row>
    <row r="40" spans="1:3">
      <c r="A40" t="s">
        <v>20</v>
      </c>
      <c r="B40">
        <v>3</v>
      </c>
      <c r="C40">
        <v>3</v>
      </c>
    </row>
    <row r="41" spans="1:3">
      <c r="A41" t="s">
        <v>20</v>
      </c>
      <c r="B41">
        <v>3</v>
      </c>
      <c r="C41">
        <v>3</v>
      </c>
    </row>
    <row r="42" spans="1:3">
      <c r="A42" t="s">
        <v>20</v>
      </c>
      <c r="B42">
        <v>2</v>
      </c>
      <c r="C42">
        <v>4</v>
      </c>
    </row>
    <row r="43" spans="1:3">
      <c r="A43" t="s">
        <v>20</v>
      </c>
      <c r="B43">
        <v>2</v>
      </c>
      <c r="C43">
        <v>4</v>
      </c>
    </row>
    <row r="44" spans="1:3">
      <c r="A44" t="s">
        <v>20</v>
      </c>
      <c r="B44">
        <v>2</v>
      </c>
      <c r="C44">
        <v>4</v>
      </c>
    </row>
    <row r="45" spans="1:3">
      <c r="A45" t="s">
        <v>20</v>
      </c>
      <c r="B45">
        <v>2</v>
      </c>
      <c r="C45">
        <v>4</v>
      </c>
    </row>
    <row r="46" spans="1:3">
      <c r="A46" t="s">
        <v>20</v>
      </c>
      <c r="B46">
        <v>2</v>
      </c>
      <c r="C46">
        <v>4</v>
      </c>
    </row>
    <row r="47" spans="1:3">
      <c r="A47" t="s">
        <v>20</v>
      </c>
      <c r="B47">
        <v>2</v>
      </c>
      <c r="C47">
        <v>4</v>
      </c>
    </row>
    <row r="48" spans="1:3">
      <c r="A48" t="s">
        <v>20</v>
      </c>
      <c r="B48">
        <v>2</v>
      </c>
      <c r="C48">
        <v>4</v>
      </c>
    </row>
    <row r="49" spans="1:9">
      <c r="A49" t="s">
        <v>20</v>
      </c>
      <c r="B49">
        <v>2</v>
      </c>
      <c r="C49">
        <v>4</v>
      </c>
    </row>
    <row r="50" spans="1:9">
      <c r="A50" t="s">
        <v>20</v>
      </c>
      <c r="B50">
        <v>2</v>
      </c>
      <c r="C50">
        <v>4</v>
      </c>
    </row>
    <row r="51" spans="1:9">
      <c r="A51" t="s">
        <v>20</v>
      </c>
      <c r="B51">
        <v>2</v>
      </c>
      <c r="C51">
        <v>4</v>
      </c>
    </row>
    <row r="52" spans="1:9">
      <c r="A52" t="s">
        <v>20</v>
      </c>
      <c r="B52">
        <v>2</v>
      </c>
      <c r="C52">
        <v>4</v>
      </c>
    </row>
    <row r="53" spans="1:9">
      <c r="A53" t="s">
        <v>20</v>
      </c>
      <c r="B53">
        <v>2</v>
      </c>
      <c r="C53">
        <v>4</v>
      </c>
    </row>
    <row r="54" spans="1:9">
      <c r="A54" t="s">
        <v>20</v>
      </c>
      <c r="B54">
        <v>2</v>
      </c>
      <c r="C54">
        <v>4</v>
      </c>
    </row>
    <row r="55" spans="1:9">
      <c r="A55" t="s">
        <v>20</v>
      </c>
      <c r="B55">
        <v>2</v>
      </c>
      <c r="C55">
        <v>4</v>
      </c>
    </row>
    <row r="56" spans="1:9">
      <c r="A56" t="s">
        <v>20</v>
      </c>
      <c r="B56">
        <v>2</v>
      </c>
      <c r="C56">
        <v>4</v>
      </c>
    </row>
    <row r="57" spans="1:9">
      <c r="A57" t="s">
        <v>20</v>
      </c>
      <c r="B57">
        <v>1</v>
      </c>
      <c r="C57">
        <v>5</v>
      </c>
    </row>
    <row r="58" spans="1:9">
      <c r="A58" t="s">
        <v>20</v>
      </c>
      <c r="B58">
        <v>1</v>
      </c>
      <c r="C58">
        <v>5</v>
      </c>
    </row>
    <row r="59" spans="1:9">
      <c r="A59" t="s">
        <v>20</v>
      </c>
      <c r="B59">
        <v>1</v>
      </c>
      <c r="C59">
        <v>5</v>
      </c>
    </row>
    <row r="60" spans="1:9">
      <c r="A60" t="s">
        <v>20</v>
      </c>
      <c r="B60">
        <v>1</v>
      </c>
      <c r="C60">
        <v>5</v>
      </c>
    </row>
    <row r="61" spans="1:9">
      <c r="A61" t="s">
        <v>20</v>
      </c>
      <c r="B61">
        <v>1</v>
      </c>
      <c r="C61">
        <v>5</v>
      </c>
    </row>
    <row r="62" spans="1:9">
      <c r="A62" t="s">
        <v>20</v>
      </c>
      <c r="B62">
        <v>1</v>
      </c>
      <c r="C62">
        <v>5</v>
      </c>
    </row>
    <row r="63" spans="1:9">
      <c r="A63" t="s">
        <v>20</v>
      </c>
      <c r="B63">
        <v>0</v>
      </c>
      <c r="C63">
        <v>6</v>
      </c>
      <c r="D63" t="s">
        <v>21</v>
      </c>
      <c r="E63">
        <v>1</v>
      </c>
      <c r="F63">
        <v>2</v>
      </c>
      <c r="G63">
        <v>3</v>
      </c>
      <c r="H63">
        <v>4</v>
      </c>
      <c r="I63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C4B6-5C53-43D0-BDA1-F5A3628853B6}">
  <dimension ref="A1:L192"/>
  <sheetViews>
    <sheetView tabSelected="1" topLeftCell="A37" workbookViewId="0">
      <selection activeCell="L192" sqref="F1:L192"/>
    </sheetView>
  </sheetViews>
  <sheetFormatPr defaultRowHeight="14.25"/>
  <sheetData>
    <row r="1" spans="1:7">
      <c r="A1" t="s">
        <v>33</v>
      </c>
      <c r="B1" t="s">
        <v>34</v>
      </c>
      <c r="C1">
        <v>5</v>
      </c>
      <c r="D1">
        <v>1</v>
      </c>
      <c r="E1">
        <v>0</v>
      </c>
      <c r="F1" t="s">
        <v>35</v>
      </c>
      <c r="G1" t="s">
        <v>36</v>
      </c>
    </row>
    <row r="2" spans="1:7">
      <c r="A2" t="s">
        <v>33</v>
      </c>
      <c r="B2" t="s">
        <v>37</v>
      </c>
      <c r="C2">
        <v>5</v>
      </c>
      <c r="D2">
        <v>1</v>
      </c>
      <c r="E2">
        <v>0</v>
      </c>
      <c r="F2" t="s">
        <v>38</v>
      </c>
      <c r="G2" t="s">
        <v>36</v>
      </c>
    </row>
    <row r="3" spans="1:7">
      <c r="A3" t="s">
        <v>33</v>
      </c>
      <c r="B3" t="s">
        <v>39</v>
      </c>
      <c r="C3">
        <v>5</v>
      </c>
      <c r="D3">
        <v>1</v>
      </c>
      <c r="E3">
        <v>0</v>
      </c>
      <c r="F3" t="s">
        <v>40</v>
      </c>
      <c r="G3" t="s">
        <v>36</v>
      </c>
    </row>
    <row r="4" spans="1:7">
      <c r="A4" t="s">
        <v>33</v>
      </c>
      <c r="B4" t="s">
        <v>41</v>
      </c>
      <c r="C4">
        <v>5</v>
      </c>
      <c r="D4">
        <v>1</v>
      </c>
      <c r="E4">
        <v>0</v>
      </c>
      <c r="F4" t="s">
        <v>42</v>
      </c>
      <c r="G4" t="s">
        <v>36</v>
      </c>
    </row>
    <row r="5" spans="1:7">
      <c r="A5" t="s">
        <v>33</v>
      </c>
      <c r="B5" t="s">
        <v>43</v>
      </c>
      <c r="C5">
        <v>5</v>
      </c>
      <c r="D5">
        <v>1</v>
      </c>
      <c r="E5">
        <v>0</v>
      </c>
      <c r="F5" t="s">
        <v>44</v>
      </c>
      <c r="G5" t="s">
        <v>36</v>
      </c>
    </row>
    <row r="6" spans="1:7">
      <c r="A6" t="s">
        <v>33</v>
      </c>
      <c r="B6" t="s">
        <v>45</v>
      </c>
      <c r="C6">
        <v>5</v>
      </c>
      <c r="D6">
        <v>1</v>
      </c>
      <c r="E6">
        <v>0</v>
      </c>
      <c r="F6" t="s">
        <v>46</v>
      </c>
      <c r="G6" t="s">
        <v>36</v>
      </c>
    </row>
    <row r="7" spans="1:7">
      <c r="A7" t="s">
        <v>33</v>
      </c>
      <c r="B7" t="s">
        <v>47</v>
      </c>
      <c r="C7">
        <v>4</v>
      </c>
      <c r="D7">
        <v>1</v>
      </c>
      <c r="E7">
        <v>1</v>
      </c>
      <c r="F7" t="s">
        <v>35</v>
      </c>
      <c r="G7" t="s">
        <v>38</v>
      </c>
    </row>
    <row r="8" spans="1:7">
      <c r="A8" t="s">
        <v>33</v>
      </c>
      <c r="B8" t="s">
        <v>48</v>
      </c>
      <c r="C8">
        <v>4</v>
      </c>
      <c r="D8">
        <v>1</v>
      </c>
      <c r="E8">
        <v>1</v>
      </c>
      <c r="F8" t="s">
        <v>35</v>
      </c>
      <c r="G8" t="s">
        <v>40</v>
      </c>
    </row>
    <row r="9" spans="1:7">
      <c r="A9" t="s">
        <v>33</v>
      </c>
      <c r="B9" t="s">
        <v>49</v>
      </c>
      <c r="C9">
        <v>4</v>
      </c>
      <c r="D9">
        <v>1</v>
      </c>
      <c r="E9">
        <v>1</v>
      </c>
      <c r="F9" t="s">
        <v>35</v>
      </c>
      <c r="G9" t="s">
        <v>42</v>
      </c>
    </row>
    <row r="10" spans="1:7">
      <c r="A10" t="s">
        <v>33</v>
      </c>
      <c r="B10" t="s">
        <v>50</v>
      </c>
      <c r="C10">
        <v>4</v>
      </c>
      <c r="D10">
        <v>1</v>
      </c>
      <c r="E10">
        <v>1</v>
      </c>
      <c r="F10" t="s">
        <v>35</v>
      </c>
      <c r="G10" t="s">
        <v>44</v>
      </c>
    </row>
    <row r="11" spans="1:7">
      <c r="A11" t="s">
        <v>33</v>
      </c>
      <c r="B11" t="s">
        <v>51</v>
      </c>
      <c r="C11">
        <v>4</v>
      </c>
      <c r="D11">
        <v>1</v>
      </c>
      <c r="E11">
        <v>1</v>
      </c>
      <c r="F11" t="s">
        <v>35</v>
      </c>
      <c r="G11" t="s">
        <v>46</v>
      </c>
    </row>
    <row r="12" spans="1:7">
      <c r="A12" t="s">
        <v>33</v>
      </c>
      <c r="B12" t="s">
        <v>52</v>
      </c>
      <c r="C12">
        <v>4</v>
      </c>
      <c r="D12">
        <v>1</v>
      </c>
      <c r="E12">
        <v>1</v>
      </c>
      <c r="F12" t="s">
        <v>38</v>
      </c>
      <c r="G12" t="s">
        <v>40</v>
      </c>
    </row>
    <row r="13" spans="1:7">
      <c r="A13" t="s">
        <v>33</v>
      </c>
      <c r="B13" t="s">
        <v>53</v>
      </c>
      <c r="C13">
        <v>4</v>
      </c>
      <c r="D13">
        <v>1</v>
      </c>
      <c r="E13">
        <v>1</v>
      </c>
      <c r="F13" t="s">
        <v>38</v>
      </c>
      <c r="G13" t="s">
        <v>42</v>
      </c>
    </row>
    <row r="14" spans="1:7">
      <c r="A14" t="s">
        <v>33</v>
      </c>
      <c r="B14" t="s">
        <v>54</v>
      </c>
      <c r="C14">
        <v>4</v>
      </c>
      <c r="D14">
        <v>1</v>
      </c>
      <c r="E14">
        <v>1</v>
      </c>
      <c r="F14" t="s">
        <v>38</v>
      </c>
      <c r="G14" t="s">
        <v>44</v>
      </c>
    </row>
    <row r="15" spans="1:7">
      <c r="A15" t="s">
        <v>33</v>
      </c>
      <c r="B15" t="s">
        <v>55</v>
      </c>
      <c r="C15">
        <v>4</v>
      </c>
      <c r="D15">
        <v>1</v>
      </c>
      <c r="E15">
        <v>1</v>
      </c>
      <c r="F15" t="s">
        <v>38</v>
      </c>
      <c r="G15" t="s">
        <v>46</v>
      </c>
    </row>
    <row r="16" spans="1:7">
      <c r="A16" t="s">
        <v>33</v>
      </c>
      <c r="B16" t="s">
        <v>56</v>
      </c>
      <c r="C16">
        <v>4</v>
      </c>
      <c r="D16">
        <v>1</v>
      </c>
      <c r="E16">
        <v>1</v>
      </c>
      <c r="F16" t="s">
        <v>40</v>
      </c>
      <c r="G16" t="s">
        <v>42</v>
      </c>
    </row>
    <row r="17" spans="1:8">
      <c r="A17" t="s">
        <v>33</v>
      </c>
      <c r="B17" t="s">
        <v>57</v>
      </c>
      <c r="C17">
        <v>4</v>
      </c>
      <c r="D17">
        <v>1</v>
      </c>
      <c r="E17">
        <v>1</v>
      </c>
      <c r="F17" t="s">
        <v>40</v>
      </c>
      <c r="G17" t="s">
        <v>44</v>
      </c>
    </row>
    <row r="18" spans="1:8">
      <c r="A18" t="s">
        <v>33</v>
      </c>
      <c r="B18" t="s">
        <v>58</v>
      </c>
      <c r="C18">
        <v>4</v>
      </c>
      <c r="D18">
        <v>1</v>
      </c>
      <c r="E18">
        <v>1</v>
      </c>
      <c r="F18" t="s">
        <v>40</v>
      </c>
      <c r="G18" t="s">
        <v>46</v>
      </c>
    </row>
    <row r="19" spans="1:8">
      <c r="A19" t="s">
        <v>33</v>
      </c>
      <c r="B19" t="s">
        <v>59</v>
      </c>
      <c r="C19">
        <v>4</v>
      </c>
      <c r="D19">
        <v>1</v>
      </c>
      <c r="E19">
        <v>1</v>
      </c>
      <c r="F19" t="s">
        <v>42</v>
      </c>
      <c r="G19" t="s">
        <v>44</v>
      </c>
    </row>
    <row r="20" spans="1:8">
      <c r="A20" t="s">
        <v>33</v>
      </c>
      <c r="B20" t="s">
        <v>60</v>
      </c>
      <c r="C20">
        <v>4</v>
      </c>
      <c r="D20">
        <v>1</v>
      </c>
      <c r="E20">
        <v>1</v>
      </c>
      <c r="F20" t="s">
        <v>42</v>
      </c>
      <c r="G20" t="s">
        <v>46</v>
      </c>
    </row>
    <row r="21" spans="1:8">
      <c r="A21" t="s">
        <v>33</v>
      </c>
      <c r="B21" t="s">
        <v>61</v>
      </c>
      <c r="C21">
        <v>4</v>
      </c>
      <c r="D21">
        <v>1</v>
      </c>
      <c r="E21">
        <v>1</v>
      </c>
      <c r="F21" t="s">
        <v>44</v>
      </c>
      <c r="G21" t="s">
        <v>46</v>
      </c>
    </row>
    <row r="22" spans="1:8">
      <c r="A22" t="s">
        <v>33</v>
      </c>
      <c r="B22" t="s">
        <v>62</v>
      </c>
      <c r="C22">
        <v>3</v>
      </c>
      <c r="D22">
        <v>1</v>
      </c>
      <c r="E22">
        <v>2</v>
      </c>
      <c r="F22" t="s">
        <v>35</v>
      </c>
      <c r="G22" t="s">
        <v>63</v>
      </c>
      <c r="H22" t="s">
        <v>64</v>
      </c>
    </row>
    <row r="23" spans="1:8">
      <c r="A23" t="s">
        <v>33</v>
      </c>
      <c r="B23" t="s">
        <v>65</v>
      </c>
      <c r="C23">
        <v>3</v>
      </c>
      <c r="D23">
        <v>1</v>
      </c>
      <c r="E23">
        <v>2</v>
      </c>
      <c r="F23" t="s">
        <v>35</v>
      </c>
      <c r="G23" t="s">
        <v>63</v>
      </c>
      <c r="H23" t="s">
        <v>66</v>
      </c>
    </row>
    <row r="24" spans="1:8">
      <c r="A24" t="s">
        <v>33</v>
      </c>
      <c r="B24" t="s">
        <v>67</v>
      </c>
      <c r="C24">
        <v>3</v>
      </c>
      <c r="D24">
        <v>1</v>
      </c>
      <c r="E24">
        <v>2</v>
      </c>
      <c r="F24" t="s">
        <v>35</v>
      </c>
      <c r="G24" t="s">
        <v>63</v>
      </c>
      <c r="H24" t="s">
        <v>68</v>
      </c>
    </row>
    <row r="25" spans="1:8">
      <c r="A25" t="s">
        <v>33</v>
      </c>
      <c r="B25" t="s">
        <v>69</v>
      </c>
      <c r="C25">
        <v>3</v>
      </c>
      <c r="D25">
        <v>1</v>
      </c>
      <c r="E25">
        <v>2</v>
      </c>
      <c r="F25" t="s">
        <v>35</v>
      </c>
      <c r="G25" t="s">
        <v>63</v>
      </c>
      <c r="H25" t="s">
        <v>70</v>
      </c>
    </row>
    <row r="26" spans="1:8">
      <c r="A26" t="s">
        <v>33</v>
      </c>
      <c r="B26" t="s">
        <v>71</v>
      </c>
      <c r="C26">
        <v>3</v>
      </c>
      <c r="D26">
        <v>1</v>
      </c>
      <c r="E26">
        <v>2</v>
      </c>
      <c r="F26" t="s">
        <v>35</v>
      </c>
      <c r="G26" t="s">
        <v>72</v>
      </c>
      <c r="H26" t="s">
        <v>66</v>
      </c>
    </row>
    <row r="27" spans="1:8">
      <c r="A27" t="s">
        <v>33</v>
      </c>
      <c r="B27" t="s">
        <v>73</v>
      </c>
      <c r="C27">
        <v>3</v>
      </c>
      <c r="D27">
        <v>1</v>
      </c>
      <c r="E27">
        <v>2</v>
      </c>
      <c r="F27" t="s">
        <v>35</v>
      </c>
      <c r="G27" t="s">
        <v>72</v>
      </c>
      <c r="H27" t="s">
        <v>68</v>
      </c>
    </row>
    <row r="28" spans="1:8">
      <c r="A28" t="s">
        <v>33</v>
      </c>
      <c r="B28" t="s">
        <v>74</v>
      </c>
      <c r="C28">
        <v>3</v>
      </c>
      <c r="D28">
        <v>1</v>
      </c>
      <c r="E28">
        <v>2</v>
      </c>
      <c r="F28" t="s">
        <v>35</v>
      </c>
      <c r="G28" t="s">
        <v>72</v>
      </c>
      <c r="H28" t="s">
        <v>70</v>
      </c>
    </row>
    <row r="29" spans="1:8">
      <c r="A29" t="s">
        <v>33</v>
      </c>
      <c r="B29" t="s">
        <v>75</v>
      </c>
      <c r="C29">
        <v>3</v>
      </c>
      <c r="D29">
        <v>1</v>
      </c>
      <c r="E29">
        <v>2</v>
      </c>
      <c r="F29" t="s">
        <v>35</v>
      </c>
      <c r="G29" t="s">
        <v>76</v>
      </c>
      <c r="H29" t="s">
        <v>68</v>
      </c>
    </row>
    <row r="30" spans="1:8">
      <c r="A30" t="s">
        <v>33</v>
      </c>
      <c r="B30" t="s">
        <v>77</v>
      </c>
      <c r="C30">
        <v>3</v>
      </c>
      <c r="D30">
        <v>1</v>
      </c>
      <c r="E30">
        <v>2</v>
      </c>
      <c r="F30" t="s">
        <v>35</v>
      </c>
      <c r="G30" t="s">
        <v>76</v>
      </c>
      <c r="H30" t="s">
        <v>70</v>
      </c>
    </row>
    <row r="31" spans="1:8">
      <c r="A31" t="s">
        <v>33</v>
      </c>
      <c r="B31" t="s">
        <v>78</v>
      </c>
      <c r="C31">
        <v>3</v>
      </c>
      <c r="D31">
        <v>1</v>
      </c>
      <c r="E31">
        <v>2</v>
      </c>
      <c r="F31" t="s">
        <v>35</v>
      </c>
      <c r="G31" t="s">
        <v>79</v>
      </c>
      <c r="H31" t="s">
        <v>70</v>
      </c>
    </row>
    <row r="32" spans="1:8">
      <c r="A32" t="s">
        <v>33</v>
      </c>
      <c r="B32" t="s">
        <v>80</v>
      </c>
      <c r="C32">
        <v>3</v>
      </c>
      <c r="D32">
        <v>1</v>
      </c>
      <c r="E32">
        <v>2</v>
      </c>
      <c r="F32" t="s">
        <v>38</v>
      </c>
      <c r="G32" t="s">
        <v>72</v>
      </c>
      <c r="H32" t="s">
        <v>66</v>
      </c>
    </row>
    <row r="33" spans="1:9">
      <c r="A33" t="s">
        <v>33</v>
      </c>
      <c r="B33" t="s">
        <v>81</v>
      </c>
      <c r="C33">
        <v>3</v>
      </c>
      <c r="D33">
        <v>1</v>
      </c>
      <c r="E33">
        <v>2</v>
      </c>
      <c r="F33" t="s">
        <v>38</v>
      </c>
      <c r="G33" t="s">
        <v>72</v>
      </c>
      <c r="H33" t="s">
        <v>68</v>
      </c>
    </row>
    <row r="34" spans="1:9">
      <c r="A34" t="s">
        <v>33</v>
      </c>
      <c r="B34" t="s">
        <v>82</v>
      </c>
      <c r="C34">
        <v>3</v>
      </c>
      <c r="D34">
        <v>1</v>
      </c>
      <c r="E34">
        <v>2</v>
      </c>
      <c r="F34" t="s">
        <v>38</v>
      </c>
      <c r="G34" t="s">
        <v>72</v>
      </c>
      <c r="H34" t="s">
        <v>70</v>
      </c>
    </row>
    <row r="35" spans="1:9">
      <c r="A35" t="s">
        <v>33</v>
      </c>
      <c r="B35" t="s">
        <v>83</v>
      </c>
      <c r="C35">
        <v>3</v>
      </c>
      <c r="D35">
        <v>1</v>
      </c>
      <c r="E35">
        <v>2</v>
      </c>
      <c r="F35" t="s">
        <v>38</v>
      </c>
      <c r="G35" t="s">
        <v>76</v>
      </c>
      <c r="H35" t="s">
        <v>68</v>
      </c>
    </row>
    <row r="36" spans="1:9">
      <c r="A36" t="s">
        <v>33</v>
      </c>
      <c r="B36" t="s">
        <v>84</v>
      </c>
      <c r="C36">
        <v>3</v>
      </c>
      <c r="D36">
        <v>1</v>
      </c>
      <c r="E36">
        <v>2</v>
      </c>
      <c r="F36" t="s">
        <v>38</v>
      </c>
      <c r="G36" t="s">
        <v>76</v>
      </c>
      <c r="H36" t="s">
        <v>70</v>
      </c>
    </row>
    <row r="37" spans="1:9">
      <c r="A37" t="s">
        <v>33</v>
      </c>
      <c r="B37" t="s">
        <v>85</v>
      </c>
      <c r="C37">
        <v>3</v>
      </c>
      <c r="D37">
        <v>1</v>
      </c>
      <c r="E37">
        <v>2</v>
      </c>
      <c r="F37" t="s">
        <v>38</v>
      </c>
      <c r="G37" t="s">
        <v>79</v>
      </c>
      <c r="H37" t="s">
        <v>70</v>
      </c>
    </row>
    <row r="38" spans="1:9">
      <c r="A38" t="s">
        <v>33</v>
      </c>
      <c r="B38" t="s">
        <v>86</v>
      </c>
      <c r="C38">
        <v>3</v>
      </c>
      <c r="D38">
        <v>1</v>
      </c>
      <c r="E38">
        <v>2</v>
      </c>
      <c r="F38" t="s">
        <v>40</v>
      </c>
      <c r="G38" t="s">
        <v>76</v>
      </c>
      <c r="H38" t="s">
        <v>68</v>
      </c>
    </row>
    <row r="39" spans="1:9">
      <c r="A39" t="s">
        <v>33</v>
      </c>
      <c r="B39" t="s">
        <v>87</v>
      </c>
      <c r="C39">
        <v>3</v>
      </c>
      <c r="D39">
        <v>1</v>
      </c>
      <c r="E39">
        <v>2</v>
      </c>
      <c r="F39" t="s">
        <v>40</v>
      </c>
      <c r="G39" t="s">
        <v>76</v>
      </c>
      <c r="H39" t="s">
        <v>70</v>
      </c>
    </row>
    <row r="40" spans="1:9">
      <c r="A40" t="s">
        <v>33</v>
      </c>
      <c r="B40" t="s">
        <v>88</v>
      </c>
      <c r="C40">
        <v>3</v>
      </c>
      <c r="D40">
        <v>1</v>
      </c>
      <c r="E40">
        <v>2</v>
      </c>
      <c r="F40" t="s">
        <v>40</v>
      </c>
      <c r="G40" t="s">
        <v>79</v>
      </c>
      <c r="H40" t="s">
        <v>70</v>
      </c>
    </row>
    <row r="41" spans="1:9">
      <c r="A41" t="s">
        <v>33</v>
      </c>
      <c r="B41" t="s">
        <v>89</v>
      </c>
      <c r="C41">
        <v>3</v>
      </c>
      <c r="D41">
        <v>1</v>
      </c>
      <c r="E41">
        <v>2</v>
      </c>
      <c r="F41" t="s">
        <v>42</v>
      </c>
      <c r="G41" t="s">
        <v>79</v>
      </c>
      <c r="H41" t="s">
        <v>70</v>
      </c>
    </row>
    <row r="42" spans="1:9">
      <c r="A42" t="s">
        <v>33</v>
      </c>
      <c r="B42" t="s">
        <v>90</v>
      </c>
      <c r="C42">
        <v>2</v>
      </c>
      <c r="D42">
        <v>1</v>
      </c>
      <c r="E42">
        <v>3</v>
      </c>
      <c r="F42" t="s">
        <v>35</v>
      </c>
      <c r="G42" t="s">
        <v>63</v>
      </c>
      <c r="H42">
        <v>2</v>
      </c>
      <c r="I42" t="s">
        <v>66</v>
      </c>
    </row>
    <row r="43" spans="1:9">
      <c r="A43" t="s">
        <v>33</v>
      </c>
      <c r="B43" t="s">
        <v>91</v>
      </c>
      <c r="C43">
        <v>2</v>
      </c>
      <c r="D43">
        <v>1</v>
      </c>
      <c r="E43">
        <v>3</v>
      </c>
      <c r="F43" t="s">
        <v>35</v>
      </c>
      <c r="G43" t="s">
        <v>63</v>
      </c>
      <c r="H43">
        <v>2</v>
      </c>
      <c r="I43" t="s">
        <v>68</v>
      </c>
    </row>
    <row r="44" spans="1:9">
      <c r="A44" t="s">
        <v>33</v>
      </c>
      <c r="B44" t="s">
        <v>92</v>
      </c>
      <c r="C44">
        <v>2</v>
      </c>
      <c r="D44">
        <v>1</v>
      </c>
      <c r="E44">
        <v>3</v>
      </c>
      <c r="F44" t="s">
        <v>35</v>
      </c>
      <c r="G44" t="s">
        <v>63</v>
      </c>
      <c r="H44">
        <v>2</v>
      </c>
      <c r="I44" t="s">
        <v>70</v>
      </c>
    </row>
    <row r="45" spans="1:9">
      <c r="A45" t="s">
        <v>33</v>
      </c>
      <c r="B45" t="s">
        <v>93</v>
      </c>
      <c r="C45">
        <v>2</v>
      </c>
      <c r="D45">
        <v>1</v>
      </c>
      <c r="E45">
        <v>3</v>
      </c>
      <c r="F45" t="s">
        <v>35</v>
      </c>
      <c r="G45" t="s">
        <v>63</v>
      </c>
      <c r="H45">
        <v>3</v>
      </c>
      <c r="I45" t="s">
        <v>68</v>
      </c>
    </row>
    <row r="46" spans="1:9">
      <c r="A46" t="s">
        <v>33</v>
      </c>
      <c r="B46" t="s">
        <v>94</v>
      </c>
      <c r="C46">
        <v>2</v>
      </c>
      <c r="D46">
        <v>1</v>
      </c>
      <c r="E46">
        <v>3</v>
      </c>
      <c r="F46" t="s">
        <v>35</v>
      </c>
      <c r="G46" t="s">
        <v>63</v>
      </c>
      <c r="H46">
        <v>3</v>
      </c>
      <c r="I46" t="s">
        <v>70</v>
      </c>
    </row>
    <row r="47" spans="1:9">
      <c r="A47" t="s">
        <v>33</v>
      </c>
      <c r="B47" t="s">
        <v>95</v>
      </c>
      <c r="C47">
        <v>2</v>
      </c>
      <c r="D47">
        <v>1</v>
      </c>
      <c r="E47">
        <v>3</v>
      </c>
      <c r="F47" t="s">
        <v>35</v>
      </c>
      <c r="G47" t="s">
        <v>63</v>
      </c>
      <c r="H47">
        <v>4</v>
      </c>
      <c r="I47" t="s">
        <v>70</v>
      </c>
    </row>
    <row r="48" spans="1:9">
      <c r="A48" t="s">
        <v>33</v>
      </c>
      <c r="B48" t="s">
        <v>96</v>
      </c>
      <c r="C48">
        <v>2</v>
      </c>
      <c r="D48">
        <v>1</v>
      </c>
      <c r="E48">
        <v>3</v>
      </c>
      <c r="F48" t="s">
        <v>35</v>
      </c>
      <c r="G48" t="s">
        <v>72</v>
      </c>
      <c r="H48">
        <v>3</v>
      </c>
      <c r="I48" t="s">
        <v>68</v>
      </c>
    </row>
    <row r="49" spans="1:11">
      <c r="A49" t="s">
        <v>33</v>
      </c>
      <c r="B49" t="s">
        <v>97</v>
      </c>
      <c r="C49">
        <v>2</v>
      </c>
      <c r="D49">
        <v>1</v>
      </c>
      <c r="E49">
        <v>3</v>
      </c>
      <c r="F49" t="s">
        <v>35</v>
      </c>
      <c r="G49" t="s">
        <v>72</v>
      </c>
      <c r="H49">
        <v>3</v>
      </c>
      <c r="I49" t="s">
        <v>70</v>
      </c>
    </row>
    <row r="50" spans="1:11">
      <c r="A50" t="s">
        <v>33</v>
      </c>
      <c r="B50" t="s">
        <v>98</v>
      </c>
      <c r="C50">
        <v>2</v>
      </c>
      <c r="D50">
        <v>1</v>
      </c>
      <c r="E50">
        <v>3</v>
      </c>
      <c r="F50" t="s">
        <v>35</v>
      </c>
      <c r="G50" t="s">
        <v>72</v>
      </c>
      <c r="H50">
        <v>4</v>
      </c>
      <c r="I50" t="s">
        <v>70</v>
      </c>
    </row>
    <row r="51" spans="1:11">
      <c r="A51" t="s">
        <v>33</v>
      </c>
      <c r="B51" t="s">
        <v>99</v>
      </c>
      <c r="C51">
        <v>2</v>
      </c>
      <c r="D51">
        <v>1</v>
      </c>
      <c r="E51">
        <v>3</v>
      </c>
      <c r="F51" t="s">
        <v>35</v>
      </c>
      <c r="G51" t="s">
        <v>76</v>
      </c>
      <c r="H51">
        <v>4</v>
      </c>
      <c r="I51" t="s">
        <v>70</v>
      </c>
    </row>
    <row r="52" spans="1:11">
      <c r="A52" t="s">
        <v>33</v>
      </c>
      <c r="B52" t="s">
        <v>100</v>
      </c>
      <c r="C52">
        <v>2</v>
      </c>
      <c r="D52">
        <v>1</v>
      </c>
      <c r="E52">
        <v>3</v>
      </c>
      <c r="F52" t="s">
        <v>38</v>
      </c>
      <c r="G52" t="s">
        <v>72</v>
      </c>
      <c r="H52">
        <v>3</v>
      </c>
      <c r="I52" t="s">
        <v>68</v>
      </c>
    </row>
    <row r="53" spans="1:11">
      <c r="A53" t="s">
        <v>33</v>
      </c>
      <c r="B53" t="s">
        <v>101</v>
      </c>
      <c r="C53">
        <v>2</v>
      </c>
      <c r="D53">
        <v>1</v>
      </c>
      <c r="E53">
        <v>3</v>
      </c>
      <c r="F53" t="s">
        <v>38</v>
      </c>
      <c r="G53" t="s">
        <v>72</v>
      </c>
      <c r="H53">
        <v>3</v>
      </c>
      <c r="I53" t="s">
        <v>70</v>
      </c>
    </row>
    <row r="54" spans="1:11">
      <c r="A54" t="s">
        <v>33</v>
      </c>
      <c r="B54" t="s">
        <v>102</v>
      </c>
      <c r="C54">
        <v>2</v>
      </c>
      <c r="D54">
        <v>1</v>
      </c>
      <c r="E54">
        <v>3</v>
      </c>
      <c r="F54" t="s">
        <v>38</v>
      </c>
      <c r="G54" t="s">
        <v>72</v>
      </c>
      <c r="H54">
        <v>4</v>
      </c>
      <c r="I54" t="s">
        <v>70</v>
      </c>
    </row>
    <row r="55" spans="1:11">
      <c r="A55" t="s">
        <v>33</v>
      </c>
      <c r="B55" t="s">
        <v>103</v>
      </c>
      <c r="C55">
        <v>2</v>
      </c>
      <c r="D55">
        <v>1</v>
      </c>
      <c r="E55">
        <v>3</v>
      </c>
      <c r="F55" t="s">
        <v>38</v>
      </c>
      <c r="G55" t="s">
        <v>76</v>
      </c>
      <c r="H55">
        <v>4</v>
      </c>
      <c r="I55" t="s">
        <v>70</v>
      </c>
    </row>
    <row r="56" spans="1:11">
      <c r="A56" t="s">
        <v>33</v>
      </c>
      <c r="B56" t="s">
        <v>104</v>
      </c>
      <c r="C56">
        <v>2</v>
      </c>
      <c r="D56">
        <v>1</v>
      </c>
      <c r="E56">
        <v>3</v>
      </c>
      <c r="F56" t="s">
        <v>40</v>
      </c>
      <c r="G56" t="s">
        <v>76</v>
      </c>
      <c r="H56">
        <v>4</v>
      </c>
      <c r="I56" t="s">
        <v>70</v>
      </c>
    </row>
    <row r="57" spans="1:11">
      <c r="A57" t="s">
        <v>33</v>
      </c>
      <c r="B57" t="s">
        <v>105</v>
      </c>
      <c r="C57">
        <v>1</v>
      </c>
      <c r="D57">
        <v>1</v>
      </c>
      <c r="E57">
        <v>4</v>
      </c>
      <c r="F57" t="s">
        <v>35</v>
      </c>
      <c r="G57" t="s">
        <v>63</v>
      </c>
      <c r="H57">
        <v>2</v>
      </c>
      <c r="I57">
        <v>3</v>
      </c>
      <c r="J57" t="s">
        <v>68</v>
      </c>
    </row>
    <row r="58" spans="1:11">
      <c r="A58" t="s">
        <v>33</v>
      </c>
      <c r="B58" t="s">
        <v>106</v>
      </c>
      <c r="C58">
        <v>1</v>
      </c>
      <c r="D58">
        <v>1</v>
      </c>
      <c r="E58">
        <v>4</v>
      </c>
      <c r="F58" t="s">
        <v>35</v>
      </c>
      <c r="G58" t="s">
        <v>63</v>
      </c>
      <c r="H58">
        <v>2</v>
      </c>
      <c r="I58">
        <v>3</v>
      </c>
      <c r="J58" t="s">
        <v>70</v>
      </c>
    </row>
    <row r="59" spans="1:11">
      <c r="A59" t="s">
        <v>33</v>
      </c>
      <c r="B59" t="s">
        <v>107</v>
      </c>
      <c r="C59">
        <v>1</v>
      </c>
      <c r="D59">
        <v>1</v>
      </c>
      <c r="E59">
        <v>4</v>
      </c>
      <c r="F59" t="s">
        <v>35</v>
      </c>
      <c r="G59" t="s">
        <v>63</v>
      </c>
      <c r="H59">
        <v>2</v>
      </c>
      <c r="I59">
        <v>4</v>
      </c>
      <c r="J59" t="s">
        <v>70</v>
      </c>
    </row>
    <row r="60" spans="1:11">
      <c r="A60" t="s">
        <v>33</v>
      </c>
      <c r="B60" t="s">
        <v>108</v>
      </c>
      <c r="C60">
        <v>1</v>
      </c>
      <c r="D60">
        <v>1</v>
      </c>
      <c r="E60">
        <v>4</v>
      </c>
      <c r="F60" t="s">
        <v>35</v>
      </c>
      <c r="G60" t="s">
        <v>63</v>
      </c>
      <c r="H60">
        <v>3</v>
      </c>
      <c r="I60">
        <v>4</v>
      </c>
      <c r="J60" t="s">
        <v>70</v>
      </c>
    </row>
    <row r="61" spans="1:11">
      <c r="A61" t="s">
        <v>33</v>
      </c>
      <c r="B61" t="s">
        <v>109</v>
      </c>
      <c r="C61">
        <v>1</v>
      </c>
      <c r="D61">
        <v>1</v>
      </c>
      <c r="E61">
        <v>4</v>
      </c>
      <c r="F61" t="s">
        <v>35</v>
      </c>
      <c r="G61" t="s">
        <v>72</v>
      </c>
      <c r="H61">
        <v>3</v>
      </c>
      <c r="I61">
        <v>4</v>
      </c>
      <c r="J61" t="s">
        <v>70</v>
      </c>
    </row>
    <row r="62" spans="1:11">
      <c r="A62" t="s">
        <v>33</v>
      </c>
      <c r="B62" t="s">
        <v>110</v>
      </c>
      <c r="C62">
        <v>1</v>
      </c>
      <c r="D62">
        <v>1</v>
      </c>
      <c r="E62">
        <v>4</v>
      </c>
      <c r="F62" t="s">
        <v>38</v>
      </c>
      <c r="G62" t="s">
        <v>72</v>
      </c>
      <c r="H62">
        <v>3</v>
      </c>
      <c r="I62">
        <v>4</v>
      </c>
      <c r="J62" t="s">
        <v>70</v>
      </c>
    </row>
    <row r="63" spans="1:11">
      <c r="A63" t="s">
        <v>33</v>
      </c>
      <c r="B63" t="s">
        <v>111</v>
      </c>
      <c r="C63">
        <v>0</v>
      </c>
      <c r="D63">
        <v>1</v>
      </c>
      <c r="E63">
        <v>5</v>
      </c>
      <c r="F63" t="s">
        <v>35</v>
      </c>
      <c r="G63" t="s">
        <v>63</v>
      </c>
      <c r="H63">
        <v>2</v>
      </c>
      <c r="I63">
        <v>3</v>
      </c>
      <c r="J63">
        <v>4</v>
      </c>
      <c r="K63" t="s">
        <v>70</v>
      </c>
    </row>
    <row r="64" spans="1:11">
      <c r="A64" t="s">
        <v>33</v>
      </c>
      <c r="B64" t="s">
        <v>112</v>
      </c>
      <c r="C64">
        <v>4</v>
      </c>
      <c r="D64">
        <v>2</v>
      </c>
      <c r="E64">
        <v>0</v>
      </c>
      <c r="F64" t="s">
        <v>113</v>
      </c>
      <c r="G64" t="s">
        <v>114</v>
      </c>
      <c r="H64" t="s">
        <v>36</v>
      </c>
    </row>
    <row r="65" spans="1:8">
      <c r="A65" t="s">
        <v>33</v>
      </c>
      <c r="B65" t="s">
        <v>115</v>
      </c>
      <c r="C65">
        <v>4</v>
      </c>
      <c r="D65">
        <v>2</v>
      </c>
      <c r="E65">
        <v>0</v>
      </c>
      <c r="F65" t="s">
        <v>113</v>
      </c>
      <c r="G65" t="s">
        <v>64</v>
      </c>
      <c r="H65" t="s">
        <v>36</v>
      </c>
    </row>
    <row r="66" spans="1:8">
      <c r="A66" t="s">
        <v>33</v>
      </c>
      <c r="B66" t="s">
        <v>116</v>
      </c>
      <c r="C66">
        <v>4</v>
      </c>
      <c r="D66">
        <v>2</v>
      </c>
      <c r="E66">
        <v>0</v>
      </c>
      <c r="F66" t="s">
        <v>113</v>
      </c>
      <c r="G66" t="s">
        <v>66</v>
      </c>
      <c r="H66" t="s">
        <v>36</v>
      </c>
    </row>
    <row r="67" spans="1:8">
      <c r="A67" t="s">
        <v>33</v>
      </c>
      <c r="B67" t="s">
        <v>117</v>
      </c>
      <c r="C67">
        <v>4</v>
      </c>
      <c r="D67">
        <v>2</v>
      </c>
      <c r="E67">
        <v>0</v>
      </c>
      <c r="F67" t="s">
        <v>113</v>
      </c>
      <c r="G67" t="s">
        <v>68</v>
      </c>
      <c r="H67" t="s">
        <v>36</v>
      </c>
    </row>
    <row r="68" spans="1:8">
      <c r="A68" t="s">
        <v>33</v>
      </c>
      <c r="B68" t="s">
        <v>118</v>
      </c>
      <c r="C68">
        <v>4</v>
      </c>
      <c r="D68">
        <v>2</v>
      </c>
      <c r="E68">
        <v>0</v>
      </c>
      <c r="F68" t="s">
        <v>113</v>
      </c>
      <c r="G68" t="s">
        <v>70</v>
      </c>
      <c r="H68" t="s">
        <v>36</v>
      </c>
    </row>
    <row r="69" spans="1:8">
      <c r="A69" t="s">
        <v>33</v>
      </c>
      <c r="B69" t="s">
        <v>119</v>
      </c>
      <c r="C69">
        <v>4</v>
      </c>
      <c r="D69">
        <v>2</v>
      </c>
      <c r="E69">
        <v>0</v>
      </c>
      <c r="F69" t="s">
        <v>63</v>
      </c>
      <c r="G69" t="s">
        <v>64</v>
      </c>
      <c r="H69" t="s">
        <v>36</v>
      </c>
    </row>
    <row r="70" spans="1:8">
      <c r="A70" t="s">
        <v>33</v>
      </c>
      <c r="B70" t="s">
        <v>120</v>
      </c>
      <c r="C70">
        <v>4</v>
      </c>
      <c r="D70">
        <v>2</v>
      </c>
      <c r="E70">
        <v>0</v>
      </c>
      <c r="F70" t="s">
        <v>63</v>
      </c>
      <c r="G70" t="s">
        <v>66</v>
      </c>
      <c r="H70" t="s">
        <v>36</v>
      </c>
    </row>
    <row r="71" spans="1:8">
      <c r="A71" t="s">
        <v>33</v>
      </c>
      <c r="B71" t="s">
        <v>121</v>
      </c>
      <c r="C71">
        <v>4</v>
      </c>
      <c r="D71">
        <v>2</v>
      </c>
      <c r="E71">
        <v>0</v>
      </c>
      <c r="F71" t="s">
        <v>63</v>
      </c>
      <c r="G71" t="s">
        <v>68</v>
      </c>
      <c r="H71" t="s">
        <v>36</v>
      </c>
    </row>
    <row r="72" spans="1:8">
      <c r="A72" t="s">
        <v>33</v>
      </c>
      <c r="B72" t="s">
        <v>122</v>
      </c>
      <c r="C72">
        <v>4</v>
      </c>
      <c r="D72">
        <v>2</v>
      </c>
      <c r="E72">
        <v>0</v>
      </c>
      <c r="F72" t="s">
        <v>63</v>
      </c>
      <c r="G72" t="s">
        <v>70</v>
      </c>
      <c r="H72" t="s">
        <v>36</v>
      </c>
    </row>
    <row r="73" spans="1:8">
      <c r="A73" t="s">
        <v>33</v>
      </c>
      <c r="B73" t="s">
        <v>123</v>
      </c>
      <c r="C73">
        <v>4</v>
      </c>
      <c r="D73">
        <v>2</v>
      </c>
      <c r="E73">
        <v>0</v>
      </c>
      <c r="F73" t="s">
        <v>72</v>
      </c>
      <c r="G73" t="s">
        <v>66</v>
      </c>
      <c r="H73" t="s">
        <v>36</v>
      </c>
    </row>
    <row r="74" spans="1:8">
      <c r="A74" t="s">
        <v>33</v>
      </c>
      <c r="B74" t="s">
        <v>124</v>
      </c>
      <c r="C74">
        <v>4</v>
      </c>
      <c r="D74">
        <v>2</v>
      </c>
      <c r="E74">
        <v>0</v>
      </c>
      <c r="F74" t="s">
        <v>72</v>
      </c>
      <c r="G74" t="s">
        <v>68</v>
      </c>
      <c r="H74" t="s">
        <v>36</v>
      </c>
    </row>
    <row r="75" spans="1:8">
      <c r="A75" t="s">
        <v>33</v>
      </c>
      <c r="B75" t="s">
        <v>125</v>
      </c>
      <c r="C75">
        <v>4</v>
      </c>
      <c r="D75">
        <v>2</v>
      </c>
      <c r="E75">
        <v>0</v>
      </c>
      <c r="F75" t="s">
        <v>72</v>
      </c>
      <c r="G75" t="s">
        <v>70</v>
      </c>
      <c r="H75" t="s">
        <v>36</v>
      </c>
    </row>
    <row r="76" spans="1:8">
      <c r="A76" t="s">
        <v>33</v>
      </c>
      <c r="B76" t="s">
        <v>126</v>
      </c>
      <c r="C76">
        <v>4</v>
      </c>
      <c r="D76">
        <v>2</v>
      </c>
      <c r="E76">
        <v>0</v>
      </c>
      <c r="F76" t="s">
        <v>76</v>
      </c>
      <c r="G76" t="s">
        <v>68</v>
      </c>
      <c r="H76" t="s">
        <v>36</v>
      </c>
    </row>
    <row r="77" spans="1:8">
      <c r="A77" t="s">
        <v>33</v>
      </c>
      <c r="B77" t="s">
        <v>127</v>
      </c>
      <c r="C77">
        <v>4</v>
      </c>
      <c r="D77">
        <v>2</v>
      </c>
      <c r="E77">
        <v>0</v>
      </c>
      <c r="F77" t="s">
        <v>76</v>
      </c>
      <c r="G77" t="s">
        <v>70</v>
      </c>
      <c r="H77" t="s">
        <v>36</v>
      </c>
    </row>
    <row r="78" spans="1:8">
      <c r="A78" t="s">
        <v>33</v>
      </c>
      <c r="B78" t="s">
        <v>128</v>
      </c>
      <c r="C78">
        <v>4</v>
      </c>
      <c r="D78">
        <v>2</v>
      </c>
      <c r="E78">
        <v>0</v>
      </c>
      <c r="F78" t="s">
        <v>79</v>
      </c>
      <c r="G78" t="s">
        <v>70</v>
      </c>
      <c r="H78" t="s">
        <v>36</v>
      </c>
    </row>
    <row r="79" spans="1:8">
      <c r="A79" t="s">
        <v>33</v>
      </c>
      <c r="B79" t="s">
        <v>129</v>
      </c>
      <c r="C79">
        <v>3</v>
      </c>
      <c r="D79">
        <v>2</v>
      </c>
      <c r="E79">
        <v>1</v>
      </c>
      <c r="F79" t="s">
        <v>113</v>
      </c>
      <c r="G79" t="s">
        <v>114</v>
      </c>
      <c r="H79" t="s">
        <v>40</v>
      </c>
    </row>
    <row r="80" spans="1:8">
      <c r="A80" t="s">
        <v>33</v>
      </c>
      <c r="B80" t="s">
        <v>130</v>
      </c>
      <c r="C80">
        <v>3</v>
      </c>
      <c r="D80">
        <v>2</v>
      </c>
      <c r="E80">
        <v>1</v>
      </c>
      <c r="F80" t="s">
        <v>113</v>
      </c>
      <c r="G80" t="s">
        <v>114</v>
      </c>
      <c r="H80" t="s">
        <v>42</v>
      </c>
    </row>
    <row r="81" spans="1:8">
      <c r="A81" t="s">
        <v>33</v>
      </c>
      <c r="B81" t="s">
        <v>131</v>
      </c>
      <c r="C81">
        <v>3</v>
      </c>
      <c r="D81">
        <v>2</v>
      </c>
      <c r="E81">
        <v>1</v>
      </c>
      <c r="F81" t="s">
        <v>113</v>
      </c>
      <c r="G81" t="s">
        <v>114</v>
      </c>
      <c r="H81" t="s">
        <v>44</v>
      </c>
    </row>
    <row r="82" spans="1:8">
      <c r="A82" t="s">
        <v>33</v>
      </c>
      <c r="B82" t="s">
        <v>132</v>
      </c>
      <c r="C82">
        <v>3</v>
      </c>
      <c r="D82">
        <v>2</v>
      </c>
      <c r="E82">
        <v>1</v>
      </c>
      <c r="F82" t="s">
        <v>113</v>
      </c>
      <c r="G82" t="s">
        <v>114</v>
      </c>
      <c r="H82" t="s">
        <v>46</v>
      </c>
    </row>
    <row r="83" spans="1:8">
      <c r="A83" t="s">
        <v>33</v>
      </c>
      <c r="B83" t="s">
        <v>133</v>
      </c>
      <c r="C83">
        <v>3</v>
      </c>
      <c r="D83">
        <v>2</v>
      </c>
      <c r="E83">
        <v>1</v>
      </c>
      <c r="F83" t="s">
        <v>113</v>
      </c>
      <c r="G83" t="s">
        <v>64</v>
      </c>
      <c r="H83" t="s">
        <v>42</v>
      </c>
    </row>
    <row r="84" spans="1:8">
      <c r="A84" t="s">
        <v>33</v>
      </c>
      <c r="B84" t="s">
        <v>134</v>
      </c>
      <c r="C84">
        <v>3</v>
      </c>
      <c r="D84">
        <v>2</v>
      </c>
      <c r="E84">
        <v>1</v>
      </c>
      <c r="F84" t="s">
        <v>113</v>
      </c>
      <c r="G84" t="s">
        <v>64</v>
      </c>
      <c r="H84" t="s">
        <v>44</v>
      </c>
    </row>
    <row r="85" spans="1:8">
      <c r="A85" t="s">
        <v>33</v>
      </c>
      <c r="B85" t="s">
        <v>135</v>
      </c>
      <c r="C85">
        <v>3</v>
      </c>
      <c r="D85">
        <v>2</v>
      </c>
      <c r="E85">
        <v>1</v>
      </c>
      <c r="F85" t="s">
        <v>113</v>
      </c>
      <c r="G85" t="s">
        <v>64</v>
      </c>
      <c r="H85" t="s">
        <v>46</v>
      </c>
    </row>
    <row r="86" spans="1:8">
      <c r="A86" t="s">
        <v>33</v>
      </c>
      <c r="B86" t="s">
        <v>136</v>
      </c>
      <c r="C86">
        <v>3</v>
      </c>
      <c r="D86">
        <v>2</v>
      </c>
      <c r="E86">
        <v>1</v>
      </c>
      <c r="F86" t="s">
        <v>113</v>
      </c>
      <c r="G86" t="s">
        <v>66</v>
      </c>
      <c r="H86" t="s">
        <v>44</v>
      </c>
    </row>
    <row r="87" spans="1:8">
      <c r="A87" t="s">
        <v>33</v>
      </c>
      <c r="B87" t="s">
        <v>137</v>
      </c>
      <c r="C87">
        <v>3</v>
      </c>
      <c r="D87">
        <v>2</v>
      </c>
      <c r="E87">
        <v>1</v>
      </c>
      <c r="F87" t="s">
        <v>113</v>
      </c>
      <c r="G87" t="s">
        <v>66</v>
      </c>
      <c r="H87" t="s">
        <v>46</v>
      </c>
    </row>
    <row r="88" spans="1:8">
      <c r="A88" t="s">
        <v>33</v>
      </c>
      <c r="B88" t="s">
        <v>138</v>
      </c>
      <c r="C88">
        <v>3</v>
      </c>
      <c r="D88">
        <v>2</v>
      </c>
      <c r="E88">
        <v>1</v>
      </c>
      <c r="F88" t="s">
        <v>113</v>
      </c>
      <c r="G88" t="s">
        <v>68</v>
      </c>
      <c r="H88" t="s">
        <v>46</v>
      </c>
    </row>
    <row r="89" spans="1:8">
      <c r="A89" t="s">
        <v>33</v>
      </c>
      <c r="B89" t="s">
        <v>139</v>
      </c>
      <c r="C89">
        <v>3</v>
      </c>
      <c r="D89">
        <v>2</v>
      </c>
      <c r="E89">
        <v>1</v>
      </c>
      <c r="F89" t="s">
        <v>63</v>
      </c>
      <c r="G89" t="s">
        <v>64</v>
      </c>
      <c r="H89" t="s">
        <v>42</v>
      </c>
    </row>
    <row r="90" spans="1:8">
      <c r="A90" t="s">
        <v>33</v>
      </c>
      <c r="B90" t="s">
        <v>140</v>
      </c>
      <c r="C90">
        <v>3</v>
      </c>
      <c r="D90">
        <v>2</v>
      </c>
      <c r="E90">
        <v>1</v>
      </c>
      <c r="F90" t="s">
        <v>63</v>
      </c>
      <c r="G90" t="s">
        <v>64</v>
      </c>
      <c r="H90" t="s">
        <v>44</v>
      </c>
    </row>
    <row r="91" spans="1:8">
      <c r="A91" t="s">
        <v>33</v>
      </c>
      <c r="B91" t="s">
        <v>141</v>
      </c>
      <c r="C91">
        <v>3</v>
      </c>
      <c r="D91">
        <v>2</v>
      </c>
      <c r="E91">
        <v>1</v>
      </c>
      <c r="F91" t="s">
        <v>63</v>
      </c>
      <c r="G91" t="s">
        <v>64</v>
      </c>
      <c r="H91" t="s">
        <v>46</v>
      </c>
    </row>
    <row r="92" spans="1:8">
      <c r="A92" t="s">
        <v>33</v>
      </c>
      <c r="B92" t="s">
        <v>142</v>
      </c>
      <c r="C92">
        <v>3</v>
      </c>
      <c r="D92">
        <v>2</v>
      </c>
      <c r="E92">
        <v>1</v>
      </c>
      <c r="F92" t="s">
        <v>63</v>
      </c>
      <c r="G92" t="s">
        <v>66</v>
      </c>
      <c r="H92" t="s">
        <v>44</v>
      </c>
    </row>
    <row r="93" spans="1:8">
      <c r="A93" t="s">
        <v>33</v>
      </c>
      <c r="B93" t="s">
        <v>143</v>
      </c>
      <c r="C93">
        <v>3</v>
      </c>
      <c r="D93">
        <v>2</v>
      </c>
      <c r="E93">
        <v>1</v>
      </c>
      <c r="F93" t="s">
        <v>63</v>
      </c>
      <c r="G93" t="s">
        <v>66</v>
      </c>
      <c r="H93" t="s">
        <v>46</v>
      </c>
    </row>
    <row r="94" spans="1:8">
      <c r="A94" t="s">
        <v>33</v>
      </c>
      <c r="B94" t="s">
        <v>144</v>
      </c>
      <c r="C94">
        <v>3</v>
      </c>
      <c r="D94">
        <v>2</v>
      </c>
      <c r="E94">
        <v>1</v>
      </c>
      <c r="F94" t="s">
        <v>63</v>
      </c>
      <c r="G94" t="s">
        <v>68</v>
      </c>
      <c r="H94" t="s">
        <v>46</v>
      </c>
    </row>
    <row r="95" spans="1:8">
      <c r="A95" t="s">
        <v>33</v>
      </c>
      <c r="B95" t="s">
        <v>145</v>
      </c>
      <c r="C95">
        <v>3</v>
      </c>
      <c r="D95">
        <v>2</v>
      </c>
      <c r="E95">
        <v>1</v>
      </c>
      <c r="F95" t="s">
        <v>72</v>
      </c>
      <c r="G95" t="s">
        <v>66</v>
      </c>
      <c r="H95" t="s">
        <v>44</v>
      </c>
    </row>
    <row r="96" spans="1:8">
      <c r="A96" t="s">
        <v>33</v>
      </c>
      <c r="B96" t="s">
        <v>146</v>
      </c>
      <c r="C96">
        <v>3</v>
      </c>
      <c r="D96">
        <v>2</v>
      </c>
      <c r="E96">
        <v>1</v>
      </c>
      <c r="F96" t="s">
        <v>72</v>
      </c>
      <c r="G96" t="s">
        <v>66</v>
      </c>
      <c r="H96" t="s">
        <v>46</v>
      </c>
    </row>
    <row r="97" spans="1:9">
      <c r="A97" t="s">
        <v>33</v>
      </c>
      <c r="B97" t="s">
        <v>147</v>
      </c>
      <c r="C97">
        <v>3</v>
      </c>
      <c r="D97">
        <v>2</v>
      </c>
      <c r="E97">
        <v>1</v>
      </c>
      <c r="F97" t="s">
        <v>72</v>
      </c>
      <c r="G97" t="s">
        <v>68</v>
      </c>
      <c r="H97" t="s">
        <v>46</v>
      </c>
    </row>
    <row r="98" spans="1:9">
      <c r="A98" t="s">
        <v>33</v>
      </c>
      <c r="B98" t="s">
        <v>148</v>
      </c>
      <c r="C98">
        <v>3</v>
      </c>
      <c r="D98">
        <v>2</v>
      </c>
      <c r="E98">
        <v>1</v>
      </c>
      <c r="F98" t="s">
        <v>76</v>
      </c>
      <c r="G98" t="s">
        <v>68</v>
      </c>
      <c r="H98" t="s">
        <v>46</v>
      </c>
    </row>
    <row r="99" spans="1:9">
      <c r="A99" t="s">
        <v>33</v>
      </c>
      <c r="B99" t="s">
        <v>149</v>
      </c>
      <c r="C99">
        <v>2</v>
      </c>
      <c r="D99">
        <v>2</v>
      </c>
      <c r="E99">
        <v>2</v>
      </c>
      <c r="F99" t="s">
        <v>113</v>
      </c>
      <c r="G99" t="s">
        <v>114</v>
      </c>
      <c r="H99" t="s">
        <v>72</v>
      </c>
      <c r="I99" t="s">
        <v>66</v>
      </c>
    </row>
    <row r="100" spans="1:9">
      <c r="A100" t="s">
        <v>33</v>
      </c>
      <c r="B100" t="s">
        <v>150</v>
      </c>
      <c r="C100">
        <v>2</v>
      </c>
      <c r="D100">
        <v>2</v>
      </c>
      <c r="E100">
        <v>2</v>
      </c>
      <c r="F100" t="s">
        <v>113</v>
      </c>
      <c r="G100" t="s">
        <v>114</v>
      </c>
      <c r="H100" t="s">
        <v>72</v>
      </c>
      <c r="I100" t="s">
        <v>68</v>
      </c>
    </row>
    <row r="101" spans="1:9">
      <c r="A101" t="s">
        <v>33</v>
      </c>
      <c r="B101" t="s">
        <v>151</v>
      </c>
      <c r="C101">
        <v>2</v>
      </c>
      <c r="D101">
        <v>2</v>
      </c>
      <c r="E101">
        <v>2</v>
      </c>
      <c r="F101" t="s">
        <v>113</v>
      </c>
      <c r="G101" t="s">
        <v>114</v>
      </c>
      <c r="H101" t="s">
        <v>72</v>
      </c>
      <c r="I101" t="s">
        <v>70</v>
      </c>
    </row>
    <row r="102" spans="1:9">
      <c r="A102" t="s">
        <v>33</v>
      </c>
      <c r="B102" t="s">
        <v>152</v>
      </c>
      <c r="C102">
        <v>2</v>
      </c>
      <c r="D102">
        <v>2</v>
      </c>
      <c r="E102">
        <v>2</v>
      </c>
      <c r="F102" t="s">
        <v>113</v>
      </c>
      <c r="G102" t="s">
        <v>114</v>
      </c>
      <c r="H102" t="s">
        <v>76</v>
      </c>
      <c r="I102" t="s">
        <v>68</v>
      </c>
    </row>
    <row r="103" spans="1:9">
      <c r="A103" t="s">
        <v>33</v>
      </c>
      <c r="B103" t="s">
        <v>153</v>
      </c>
      <c r="C103">
        <v>2</v>
      </c>
      <c r="D103">
        <v>2</v>
      </c>
      <c r="E103">
        <v>2</v>
      </c>
      <c r="F103" t="s">
        <v>113</v>
      </c>
      <c r="G103" t="s">
        <v>114</v>
      </c>
      <c r="H103" t="s">
        <v>76</v>
      </c>
      <c r="I103" t="s">
        <v>70</v>
      </c>
    </row>
    <row r="104" spans="1:9">
      <c r="A104" t="s">
        <v>33</v>
      </c>
      <c r="B104" t="s">
        <v>154</v>
      </c>
      <c r="C104">
        <v>2</v>
      </c>
      <c r="D104">
        <v>2</v>
      </c>
      <c r="E104">
        <v>2</v>
      </c>
      <c r="F104" t="s">
        <v>113</v>
      </c>
      <c r="G104" t="s">
        <v>114</v>
      </c>
      <c r="H104" t="s">
        <v>79</v>
      </c>
      <c r="I104" t="s">
        <v>70</v>
      </c>
    </row>
    <row r="105" spans="1:9">
      <c r="A105" t="s">
        <v>33</v>
      </c>
      <c r="B105" t="s">
        <v>155</v>
      </c>
      <c r="C105">
        <v>2</v>
      </c>
      <c r="D105">
        <v>2</v>
      </c>
      <c r="E105">
        <v>2</v>
      </c>
      <c r="F105" t="s">
        <v>113</v>
      </c>
      <c r="G105" t="s">
        <v>64</v>
      </c>
      <c r="H105" t="s">
        <v>76</v>
      </c>
      <c r="I105" t="s">
        <v>68</v>
      </c>
    </row>
    <row r="106" spans="1:9">
      <c r="A106" t="s">
        <v>33</v>
      </c>
      <c r="B106" t="s">
        <v>156</v>
      </c>
      <c r="C106">
        <v>2</v>
      </c>
      <c r="D106">
        <v>2</v>
      </c>
      <c r="E106">
        <v>2</v>
      </c>
      <c r="F106" t="s">
        <v>113</v>
      </c>
      <c r="G106" t="s">
        <v>64</v>
      </c>
      <c r="H106" t="s">
        <v>76</v>
      </c>
      <c r="I106" t="s">
        <v>70</v>
      </c>
    </row>
    <row r="107" spans="1:9">
      <c r="A107" t="s">
        <v>33</v>
      </c>
      <c r="B107" t="s">
        <v>157</v>
      </c>
      <c r="C107">
        <v>2</v>
      </c>
      <c r="D107">
        <v>2</v>
      </c>
      <c r="E107">
        <v>2</v>
      </c>
      <c r="F107" t="s">
        <v>113</v>
      </c>
      <c r="G107" t="s">
        <v>64</v>
      </c>
      <c r="H107" t="s">
        <v>79</v>
      </c>
      <c r="I107" t="s">
        <v>70</v>
      </c>
    </row>
    <row r="108" spans="1:9">
      <c r="A108" t="s">
        <v>33</v>
      </c>
      <c r="B108" t="s">
        <v>158</v>
      </c>
      <c r="C108">
        <v>2</v>
      </c>
      <c r="D108">
        <v>2</v>
      </c>
      <c r="E108">
        <v>2</v>
      </c>
      <c r="F108" t="s">
        <v>113</v>
      </c>
      <c r="G108" t="s">
        <v>66</v>
      </c>
      <c r="H108" t="s">
        <v>79</v>
      </c>
      <c r="I108" t="s">
        <v>70</v>
      </c>
    </row>
    <row r="109" spans="1:9">
      <c r="A109" t="s">
        <v>33</v>
      </c>
      <c r="B109" t="s">
        <v>159</v>
      </c>
      <c r="C109">
        <v>2</v>
      </c>
      <c r="D109">
        <v>2</v>
      </c>
      <c r="E109">
        <v>2</v>
      </c>
      <c r="F109" t="s">
        <v>63</v>
      </c>
      <c r="G109" t="s">
        <v>64</v>
      </c>
      <c r="H109" t="s">
        <v>76</v>
      </c>
      <c r="I109" t="s">
        <v>68</v>
      </c>
    </row>
    <row r="110" spans="1:9">
      <c r="A110" t="s">
        <v>33</v>
      </c>
      <c r="B110" t="s">
        <v>160</v>
      </c>
      <c r="C110">
        <v>2</v>
      </c>
      <c r="D110">
        <v>2</v>
      </c>
      <c r="E110">
        <v>2</v>
      </c>
      <c r="F110" t="s">
        <v>63</v>
      </c>
      <c r="G110" t="s">
        <v>64</v>
      </c>
      <c r="H110" t="s">
        <v>76</v>
      </c>
      <c r="I110" t="s">
        <v>70</v>
      </c>
    </row>
    <row r="111" spans="1:9">
      <c r="A111" t="s">
        <v>33</v>
      </c>
      <c r="B111" t="s">
        <v>161</v>
      </c>
      <c r="C111">
        <v>2</v>
      </c>
      <c r="D111">
        <v>2</v>
      </c>
      <c r="E111">
        <v>2</v>
      </c>
      <c r="F111" t="s">
        <v>63</v>
      </c>
      <c r="G111" t="s">
        <v>64</v>
      </c>
      <c r="H111" t="s">
        <v>79</v>
      </c>
      <c r="I111" t="s">
        <v>70</v>
      </c>
    </row>
    <row r="112" spans="1:9">
      <c r="A112" t="s">
        <v>33</v>
      </c>
      <c r="B112" t="s">
        <v>162</v>
      </c>
      <c r="C112">
        <v>2</v>
      </c>
      <c r="D112">
        <v>2</v>
      </c>
      <c r="E112">
        <v>2</v>
      </c>
      <c r="F112" t="s">
        <v>63</v>
      </c>
      <c r="G112" t="s">
        <v>66</v>
      </c>
      <c r="H112" t="s">
        <v>79</v>
      </c>
      <c r="I112" t="s">
        <v>70</v>
      </c>
    </row>
    <row r="113" spans="1:11">
      <c r="A113" t="s">
        <v>33</v>
      </c>
      <c r="B113" t="s">
        <v>163</v>
      </c>
      <c r="C113">
        <v>2</v>
      </c>
      <c r="D113">
        <v>2</v>
      </c>
      <c r="E113">
        <v>2</v>
      </c>
      <c r="F113" t="s">
        <v>72</v>
      </c>
      <c r="G113" t="s">
        <v>66</v>
      </c>
      <c r="H113" t="s">
        <v>79</v>
      </c>
      <c r="I113" t="s">
        <v>70</v>
      </c>
    </row>
    <row r="114" spans="1:11">
      <c r="A114" t="s">
        <v>33</v>
      </c>
      <c r="B114" t="s">
        <v>164</v>
      </c>
      <c r="C114">
        <v>1</v>
      </c>
      <c r="D114">
        <v>2</v>
      </c>
      <c r="E114">
        <v>3</v>
      </c>
      <c r="F114" t="s">
        <v>113</v>
      </c>
      <c r="G114" t="s">
        <v>114</v>
      </c>
      <c r="H114" t="s">
        <v>72</v>
      </c>
      <c r="I114">
        <v>3</v>
      </c>
      <c r="J114" t="s">
        <v>68</v>
      </c>
    </row>
    <row r="115" spans="1:11">
      <c r="A115" t="s">
        <v>33</v>
      </c>
      <c r="B115" t="s">
        <v>165</v>
      </c>
      <c r="C115">
        <v>1</v>
      </c>
      <c r="D115">
        <v>2</v>
      </c>
      <c r="E115">
        <v>3</v>
      </c>
      <c r="F115" t="s">
        <v>113</v>
      </c>
      <c r="G115" t="s">
        <v>114</v>
      </c>
      <c r="H115" t="s">
        <v>72</v>
      </c>
      <c r="I115">
        <v>3</v>
      </c>
      <c r="J115" t="s">
        <v>70</v>
      </c>
    </row>
    <row r="116" spans="1:11">
      <c r="A116" t="s">
        <v>33</v>
      </c>
      <c r="B116" t="s">
        <v>166</v>
      </c>
      <c r="C116">
        <v>1</v>
      </c>
      <c r="D116">
        <v>2</v>
      </c>
      <c r="E116">
        <v>3</v>
      </c>
      <c r="F116" t="s">
        <v>113</v>
      </c>
      <c r="G116" t="s">
        <v>114</v>
      </c>
      <c r="H116" t="s">
        <v>72</v>
      </c>
      <c r="I116">
        <v>4</v>
      </c>
      <c r="J116" t="s">
        <v>70</v>
      </c>
    </row>
    <row r="117" spans="1:11">
      <c r="A117" t="s">
        <v>33</v>
      </c>
      <c r="B117" t="s">
        <v>167</v>
      </c>
      <c r="C117">
        <v>1</v>
      </c>
      <c r="D117">
        <v>2</v>
      </c>
      <c r="E117">
        <v>3</v>
      </c>
      <c r="F117" t="s">
        <v>113</v>
      </c>
      <c r="G117" t="s">
        <v>114</v>
      </c>
      <c r="H117" t="s">
        <v>76</v>
      </c>
      <c r="I117">
        <v>4</v>
      </c>
      <c r="J117" t="s">
        <v>70</v>
      </c>
    </row>
    <row r="118" spans="1:11">
      <c r="A118" t="s">
        <v>33</v>
      </c>
      <c r="B118" t="s">
        <v>168</v>
      </c>
      <c r="C118">
        <v>1</v>
      </c>
      <c r="D118">
        <v>2</v>
      </c>
      <c r="E118">
        <v>3</v>
      </c>
      <c r="F118" t="s">
        <v>113</v>
      </c>
      <c r="G118" t="s">
        <v>64</v>
      </c>
      <c r="H118" t="s">
        <v>76</v>
      </c>
      <c r="I118">
        <v>4</v>
      </c>
      <c r="J118" t="s">
        <v>70</v>
      </c>
    </row>
    <row r="119" spans="1:11">
      <c r="A119" t="s">
        <v>33</v>
      </c>
      <c r="B119" t="s">
        <v>169</v>
      </c>
      <c r="C119">
        <v>1</v>
      </c>
      <c r="D119">
        <v>2</v>
      </c>
      <c r="E119">
        <v>3</v>
      </c>
      <c r="F119" t="s">
        <v>63</v>
      </c>
      <c r="G119" t="s">
        <v>64</v>
      </c>
      <c r="H119" t="s">
        <v>76</v>
      </c>
      <c r="I119">
        <v>4</v>
      </c>
      <c r="J119" t="s">
        <v>70</v>
      </c>
    </row>
    <row r="120" spans="1:11">
      <c r="A120" t="s">
        <v>33</v>
      </c>
      <c r="B120" t="s">
        <v>170</v>
      </c>
      <c r="C120">
        <v>0</v>
      </c>
      <c r="D120">
        <v>2</v>
      </c>
      <c r="E120">
        <v>4</v>
      </c>
      <c r="F120" t="s">
        <v>113</v>
      </c>
      <c r="G120" t="s">
        <v>114</v>
      </c>
      <c r="H120" t="s">
        <v>72</v>
      </c>
      <c r="I120">
        <v>3</v>
      </c>
      <c r="J120">
        <v>4</v>
      </c>
      <c r="K120" t="s">
        <v>70</v>
      </c>
    </row>
    <row r="121" spans="1:11">
      <c r="A121" t="s">
        <v>33</v>
      </c>
      <c r="B121" t="s">
        <v>171</v>
      </c>
      <c r="C121">
        <v>3</v>
      </c>
      <c r="D121">
        <v>3</v>
      </c>
      <c r="E121">
        <v>0</v>
      </c>
      <c r="F121" t="s">
        <v>113</v>
      </c>
      <c r="G121">
        <v>1</v>
      </c>
      <c r="H121" t="s">
        <v>64</v>
      </c>
      <c r="I121" t="s">
        <v>36</v>
      </c>
    </row>
    <row r="122" spans="1:11">
      <c r="A122" t="s">
        <v>33</v>
      </c>
      <c r="B122" t="s">
        <v>172</v>
      </c>
      <c r="C122">
        <v>3</v>
      </c>
      <c r="D122">
        <v>3</v>
      </c>
      <c r="E122">
        <v>0</v>
      </c>
      <c r="F122" t="s">
        <v>113</v>
      </c>
      <c r="G122">
        <v>1</v>
      </c>
      <c r="H122" t="s">
        <v>66</v>
      </c>
      <c r="I122" t="s">
        <v>36</v>
      </c>
    </row>
    <row r="123" spans="1:11">
      <c r="A123" t="s">
        <v>33</v>
      </c>
      <c r="B123" t="s">
        <v>173</v>
      </c>
      <c r="C123">
        <v>3</v>
      </c>
      <c r="D123">
        <v>3</v>
      </c>
      <c r="E123">
        <v>0</v>
      </c>
      <c r="F123" t="s">
        <v>113</v>
      </c>
      <c r="G123">
        <v>1</v>
      </c>
      <c r="H123" t="s">
        <v>68</v>
      </c>
      <c r="I123" t="s">
        <v>36</v>
      </c>
    </row>
    <row r="124" spans="1:11">
      <c r="A124" t="s">
        <v>33</v>
      </c>
      <c r="B124" t="s">
        <v>174</v>
      </c>
      <c r="C124">
        <v>3</v>
      </c>
      <c r="D124">
        <v>3</v>
      </c>
      <c r="E124">
        <v>0</v>
      </c>
      <c r="F124" t="s">
        <v>113</v>
      </c>
      <c r="G124">
        <v>1</v>
      </c>
      <c r="H124" t="s">
        <v>70</v>
      </c>
      <c r="I124" t="s">
        <v>36</v>
      </c>
    </row>
    <row r="125" spans="1:11">
      <c r="A125" t="s">
        <v>33</v>
      </c>
      <c r="B125" t="s">
        <v>175</v>
      </c>
      <c r="C125">
        <v>3</v>
      </c>
      <c r="D125">
        <v>3</v>
      </c>
      <c r="E125">
        <v>0</v>
      </c>
      <c r="F125" t="s">
        <v>113</v>
      </c>
      <c r="G125">
        <v>2</v>
      </c>
      <c r="H125" t="s">
        <v>66</v>
      </c>
      <c r="I125" t="s">
        <v>36</v>
      </c>
    </row>
    <row r="126" spans="1:11">
      <c r="A126" t="s">
        <v>33</v>
      </c>
      <c r="B126" t="s">
        <v>176</v>
      </c>
      <c r="C126">
        <v>3</v>
      </c>
      <c r="D126">
        <v>3</v>
      </c>
      <c r="E126">
        <v>0</v>
      </c>
      <c r="F126" t="s">
        <v>113</v>
      </c>
      <c r="G126">
        <v>2</v>
      </c>
      <c r="H126" t="s">
        <v>68</v>
      </c>
      <c r="I126" t="s">
        <v>36</v>
      </c>
    </row>
    <row r="127" spans="1:11">
      <c r="A127" t="s">
        <v>33</v>
      </c>
      <c r="B127" t="s">
        <v>177</v>
      </c>
      <c r="C127">
        <v>3</v>
      </c>
      <c r="D127">
        <v>3</v>
      </c>
      <c r="E127">
        <v>0</v>
      </c>
      <c r="F127" t="s">
        <v>113</v>
      </c>
      <c r="G127">
        <v>2</v>
      </c>
      <c r="H127" t="s">
        <v>70</v>
      </c>
      <c r="I127" t="s">
        <v>36</v>
      </c>
    </row>
    <row r="128" spans="1:11">
      <c r="A128" t="s">
        <v>33</v>
      </c>
      <c r="B128" t="s">
        <v>178</v>
      </c>
      <c r="C128">
        <v>3</v>
      </c>
      <c r="D128">
        <v>3</v>
      </c>
      <c r="E128">
        <v>0</v>
      </c>
      <c r="F128" t="s">
        <v>113</v>
      </c>
      <c r="G128">
        <v>3</v>
      </c>
      <c r="H128" t="s">
        <v>68</v>
      </c>
      <c r="I128" t="s">
        <v>36</v>
      </c>
    </row>
    <row r="129" spans="1:9">
      <c r="A129" t="s">
        <v>33</v>
      </c>
      <c r="B129" t="s">
        <v>179</v>
      </c>
      <c r="C129">
        <v>3</v>
      </c>
      <c r="D129">
        <v>3</v>
      </c>
      <c r="E129">
        <v>0</v>
      </c>
      <c r="F129" t="s">
        <v>113</v>
      </c>
      <c r="G129">
        <v>3</v>
      </c>
      <c r="H129" t="s">
        <v>70</v>
      </c>
      <c r="I129" t="s">
        <v>36</v>
      </c>
    </row>
    <row r="130" spans="1:9">
      <c r="A130" t="s">
        <v>33</v>
      </c>
      <c r="B130" t="s">
        <v>180</v>
      </c>
      <c r="C130">
        <v>3</v>
      </c>
      <c r="D130">
        <v>3</v>
      </c>
      <c r="E130">
        <v>0</v>
      </c>
      <c r="F130" t="s">
        <v>113</v>
      </c>
      <c r="G130">
        <v>4</v>
      </c>
      <c r="H130" t="s">
        <v>70</v>
      </c>
      <c r="I130" t="s">
        <v>36</v>
      </c>
    </row>
    <row r="131" spans="1:9">
      <c r="A131" t="s">
        <v>33</v>
      </c>
      <c r="B131" t="s">
        <v>181</v>
      </c>
      <c r="C131">
        <v>3</v>
      </c>
      <c r="D131">
        <v>3</v>
      </c>
      <c r="E131">
        <v>0</v>
      </c>
      <c r="F131" t="s">
        <v>63</v>
      </c>
      <c r="G131">
        <v>2</v>
      </c>
      <c r="H131" t="s">
        <v>66</v>
      </c>
      <c r="I131" t="s">
        <v>36</v>
      </c>
    </row>
    <row r="132" spans="1:9">
      <c r="A132" t="s">
        <v>33</v>
      </c>
      <c r="B132" t="s">
        <v>182</v>
      </c>
      <c r="C132">
        <v>3</v>
      </c>
      <c r="D132">
        <v>3</v>
      </c>
      <c r="E132">
        <v>0</v>
      </c>
      <c r="F132" t="s">
        <v>63</v>
      </c>
      <c r="G132">
        <v>2</v>
      </c>
      <c r="H132" t="s">
        <v>68</v>
      </c>
      <c r="I132" t="s">
        <v>36</v>
      </c>
    </row>
    <row r="133" spans="1:9">
      <c r="A133" t="s">
        <v>33</v>
      </c>
      <c r="B133" t="s">
        <v>183</v>
      </c>
      <c r="C133">
        <v>3</v>
      </c>
      <c r="D133">
        <v>3</v>
      </c>
      <c r="E133">
        <v>0</v>
      </c>
      <c r="F133" t="s">
        <v>63</v>
      </c>
      <c r="G133">
        <v>2</v>
      </c>
      <c r="H133" t="s">
        <v>70</v>
      </c>
      <c r="I133" t="s">
        <v>36</v>
      </c>
    </row>
    <row r="134" spans="1:9">
      <c r="A134" t="s">
        <v>33</v>
      </c>
      <c r="B134" t="s">
        <v>184</v>
      </c>
      <c r="C134">
        <v>3</v>
      </c>
      <c r="D134">
        <v>3</v>
      </c>
      <c r="E134">
        <v>0</v>
      </c>
      <c r="F134" t="s">
        <v>63</v>
      </c>
      <c r="G134">
        <v>3</v>
      </c>
      <c r="H134" t="s">
        <v>68</v>
      </c>
      <c r="I134" t="s">
        <v>36</v>
      </c>
    </row>
    <row r="135" spans="1:9">
      <c r="A135" t="s">
        <v>33</v>
      </c>
      <c r="B135" t="s">
        <v>185</v>
      </c>
      <c r="C135">
        <v>3</v>
      </c>
      <c r="D135">
        <v>3</v>
      </c>
      <c r="E135">
        <v>0</v>
      </c>
      <c r="F135" t="s">
        <v>63</v>
      </c>
      <c r="G135">
        <v>3</v>
      </c>
      <c r="H135" t="s">
        <v>70</v>
      </c>
      <c r="I135" t="s">
        <v>36</v>
      </c>
    </row>
    <row r="136" spans="1:9">
      <c r="A136" t="s">
        <v>33</v>
      </c>
      <c r="B136" t="s">
        <v>186</v>
      </c>
      <c r="C136">
        <v>3</v>
      </c>
      <c r="D136">
        <v>3</v>
      </c>
      <c r="E136">
        <v>0</v>
      </c>
      <c r="F136" t="s">
        <v>63</v>
      </c>
      <c r="G136">
        <v>4</v>
      </c>
      <c r="H136" t="s">
        <v>70</v>
      </c>
      <c r="I136" t="s">
        <v>36</v>
      </c>
    </row>
    <row r="137" spans="1:9">
      <c r="A137" t="s">
        <v>33</v>
      </c>
      <c r="B137" t="s">
        <v>187</v>
      </c>
      <c r="C137">
        <v>3</v>
      </c>
      <c r="D137">
        <v>3</v>
      </c>
      <c r="E137">
        <v>0</v>
      </c>
      <c r="F137" t="s">
        <v>72</v>
      </c>
      <c r="G137">
        <v>3</v>
      </c>
      <c r="H137" t="s">
        <v>68</v>
      </c>
      <c r="I137" t="s">
        <v>36</v>
      </c>
    </row>
    <row r="138" spans="1:9">
      <c r="A138" t="s">
        <v>33</v>
      </c>
      <c r="B138" t="s">
        <v>188</v>
      </c>
      <c r="C138">
        <v>3</v>
      </c>
      <c r="D138">
        <v>3</v>
      </c>
      <c r="E138">
        <v>0</v>
      </c>
      <c r="F138" t="s">
        <v>72</v>
      </c>
      <c r="G138">
        <v>3</v>
      </c>
      <c r="H138" t="s">
        <v>70</v>
      </c>
      <c r="I138" t="s">
        <v>36</v>
      </c>
    </row>
    <row r="139" spans="1:9">
      <c r="A139" t="s">
        <v>33</v>
      </c>
      <c r="B139" t="s">
        <v>189</v>
      </c>
      <c r="C139">
        <v>3</v>
      </c>
      <c r="D139">
        <v>3</v>
      </c>
      <c r="E139">
        <v>0</v>
      </c>
      <c r="F139" t="s">
        <v>72</v>
      </c>
      <c r="G139">
        <v>4</v>
      </c>
      <c r="H139" t="s">
        <v>70</v>
      </c>
      <c r="I139" t="s">
        <v>36</v>
      </c>
    </row>
    <row r="140" spans="1:9">
      <c r="A140" t="s">
        <v>33</v>
      </c>
      <c r="B140" t="s">
        <v>190</v>
      </c>
      <c r="C140">
        <v>3</v>
      </c>
      <c r="D140">
        <v>3</v>
      </c>
      <c r="E140">
        <v>0</v>
      </c>
      <c r="F140" t="s">
        <v>76</v>
      </c>
      <c r="G140">
        <v>4</v>
      </c>
      <c r="H140" t="s">
        <v>70</v>
      </c>
      <c r="I140" t="s">
        <v>36</v>
      </c>
    </row>
    <row r="141" spans="1:9">
      <c r="A141" t="s">
        <v>33</v>
      </c>
      <c r="B141" t="s">
        <v>191</v>
      </c>
      <c r="C141">
        <v>2</v>
      </c>
      <c r="D141">
        <v>3</v>
      </c>
      <c r="E141">
        <v>1</v>
      </c>
      <c r="F141" t="s">
        <v>113</v>
      </c>
      <c r="G141">
        <v>1</v>
      </c>
      <c r="H141" t="s">
        <v>64</v>
      </c>
      <c r="I141" t="s">
        <v>42</v>
      </c>
    </row>
    <row r="142" spans="1:9">
      <c r="A142" t="s">
        <v>33</v>
      </c>
      <c r="B142" t="s">
        <v>192</v>
      </c>
      <c r="C142">
        <v>2</v>
      </c>
      <c r="D142">
        <v>3</v>
      </c>
      <c r="E142">
        <v>1</v>
      </c>
      <c r="F142" t="s">
        <v>113</v>
      </c>
      <c r="G142">
        <v>1</v>
      </c>
      <c r="H142" t="s">
        <v>64</v>
      </c>
      <c r="I142" t="s">
        <v>44</v>
      </c>
    </row>
    <row r="143" spans="1:9">
      <c r="A143" t="s">
        <v>33</v>
      </c>
      <c r="B143" t="s">
        <v>193</v>
      </c>
      <c r="C143">
        <v>2</v>
      </c>
      <c r="D143">
        <v>3</v>
      </c>
      <c r="E143">
        <v>1</v>
      </c>
      <c r="F143" t="s">
        <v>113</v>
      </c>
      <c r="G143">
        <v>1</v>
      </c>
      <c r="H143" t="s">
        <v>64</v>
      </c>
      <c r="I143" t="s">
        <v>46</v>
      </c>
    </row>
    <row r="144" spans="1:9">
      <c r="A144" t="s">
        <v>33</v>
      </c>
      <c r="B144" t="s">
        <v>194</v>
      </c>
      <c r="C144">
        <v>2</v>
      </c>
      <c r="D144">
        <v>3</v>
      </c>
      <c r="E144">
        <v>1</v>
      </c>
      <c r="F144" t="s">
        <v>113</v>
      </c>
      <c r="G144">
        <v>1</v>
      </c>
      <c r="H144" t="s">
        <v>66</v>
      </c>
      <c r="I144" t="s">
        <v>44</v>
      </c>
    </row>
    <row r="145" spans="1:10">
      <c r="A145" t="s">
        <v>33</v>
      </c>
      <c r="B145" t="s">
        <v>195</v>
      </c>
      <c r="C145">
        <v>2</v>
      </c>
      <c r="D145">
        <v>3</v>
      </c>
      <c r="E145">
        <v>1</v>
      </c>
      <c r="F145" t="s">
        <v>113</v>
      </c>
      <c r="G145">
        <v>1</v>
      </c>
      <c r="H145" t="s">
        <v>66</v>
      </c>
      <c r="I145" t="s">
        <v>46</v>
      </c>
    </row>
    <row r="146" spans="1:10">
      <c r="A146" t="s">
        <v>33</v>
      </c>
      <c r="B146" t="s">
        <v>196</v>
      </c>
      <c r="C146">
        <v>2</v>
      </c>
      <c r="D146">
        <v>3</v>
      </c>
      <c r="E146">
        <v>1</v>
      </c>
      <c r="F146" t="s">
        <v>113</v>
      </c>
      <c r="G146">
        <v>1</v>
      </c>
      <c r="H146" t="s">
        <v>68</v>
      </c>
      <c r="I146" t="s">
        <v>46</v>
      </c>
    </row>
    <row r="147" spans="1:10">
      <c r="A147" t="s">
        <v>33</v>
      </c>
      <c r="B147" t="s">
        <v>197</v>
      </c>
      <c r="C147">
        <v>2</v>
      </c>
      <c r="D147">
        <v>3</v>
      </c>
      <c r="E147">
        <v>1</v>
      </c>
      <c r="F147" t="s">
        <v>113</v>
      </c>
      <c r="G147">
        <v>2</v>
      </c>
      <c r="H147" t="s">
        <v>66</v>
      </c>
      <c r="I147" t="s">
        <v>44</v>
      </c>
    </row>
    <row r="148" spans="1:10">
      <c r="A148" t="s">
        <v>33</v>
      </c>
      <c r="B148" t="s">
        <v>198</v>
      </c>
      <c r="C148">
        <v>2</v>
      </c>
      <c r="D148">
        <v>3</v>
      </c>
      <c r="E148">
        <v>1</v>
      </c>
      <c r="F148" t="s">
        <v>113</v>
      </c>
      <c r="G148">
        <v>2</v>
      </c>
      <c r="H148" t="s">
        <v>66</v>
      </c>
      <c r="I148" t="s">
        <v>46</v>
      </c>
    </row>
    <row r="149" spans="1:10">
      <c r="A149" t="s">
        <v>33</v>
      </c>
      <c r="B149" t="s">
        <v>199</v>
      </c>
      <c r="C149">
        <v>2</v>
      </c>
      <c r="D149">
        <v>3</v>
      </c>
      <c r="E149">
        <v>1</v>
      </c>
      <c r="F149" t="s">
        <v>113</v>
      </c>
      <c r="G149">
        <v>2</v>
      </c>
      <c r="H149" t="s">
        <v>68</v>
      </c>
      <c r="I149" t="s">
        <v>46</v>
      </c>
    </row>
    <row r="150" spans="1:10">
      <c r="A150" t="s">
        <v>33</v>
      </c>
      <c r="B150" t="s">
        <v>200</v>
      </c>
      <c r="C150">
        <v>2</v>
      </c>
      <c r="D150">
        <v>3</v>
      </c>
      <c r="E150">
        <v>1</v>
      </c>
      <c r="F150" t="s">
        <v>113</v>
      </c>
      <c r="G150">
        <v>3</v>
      </c>
      <c r="H150" t="s">
        <v>68</v>
      </c>
      <c r="I150" t="s">
        <v>46</v>
      </c>
    </row>
    <row r="151" spans="1:10">
      <c r="A151" t="s">
        <v>33</v>
      </c>
      <c r="B151" t="s">
        <v>201</v>
      </c>
      <c r="C151">
        <v>2</v>
      </c>
      <c r="D151">
        <v>3</v>
      </c>
      <c r="E151">
        <v>1</v>
      </c>
      <c r="F151" t="s">
        <v>63</v>
      </c>
      <c r="G151">
        <v>2</v>
      </c>
      <c r="H151" t="s">
        <v>66</v>
      </c>
      <c r="I151" t="s">
        <v>44</v>
      </c>
    </row>
    <row r="152" spans="1:10">
      <c r="A152" t="s">
        <v>33</v>
      </c>
      <c r="B152" t="s">
        <v>202</v>
      </c>
      <c r="C152">
        <v>2</v>
      </c>
      <c r="D152">
        <v>3</v>
      </c>
      <c r="E152">
        <v>1</v>
      </c>
      <c r="F152" t="s">
        <v>63</v>
      </c>
      <c r="G152">
        <v>2</v>
      </c>
      <c r="H152" t="s">
        <v>66</v>
      </c>
      <c r="I152" t="s">
        <v>46</v>
      </c>
    </row>
    <row r="153" spans="1:10">
      <c r="A153" t="s">
        <v>33</v>
      </c>
      <c r="B153" t="s">
        <v>203</v>
      </c>
      <c r="C153">
        <v>2</v>
      </c>
      <c r="D153">
        <v>3</v>
      </c>
      <c r="E153">
        <v>1</v>
      </c>
      <c r="F153" t="s">
        <v>63</v>
      </c>
      <c r="G153">
        <v>2</v>
      </c>
      <c r="H153" t="s">
        <v>68</v>
      </c>
      <c r="I153" t="s">
        <v>46</v>
      </c>
    </row>
    <row r="154" spans="1:10">
      <c r="A154" t="s">
        <v>33</v>
      </c>
      <c r="B154" t="s">
        <v>204</v>
      </c>
      <c r="C154">
        <v>2</v>
      </c>
      <c r="D154">
        <v>3</v>
      </c>
      <c r="E154">
        <v>1</v>
      </c>
      <c r="F154" t="s">
        <v>63</v>
      </c>
      <c r="G154">
        <v>3</v>
      </c>
      <c r="H154" t="s">
        <v>68</v>
      </c>
      <c r="I154" t="s">
        <v>46</v>
      </c>
    </row>
    <row r="155" spans="1:10">
      <c r="A155" t="s">
        <v>33</v>
      </c>
      <c r="B155" t="s">
        <v>205</v>
      </c>
      <c r="C155">
        <v>2</v>
      </c>
      <c r="D155">
        <v>3</v>
      </c>
      <c r="E155">
        <v>1</v>
      </c>
      <c r="F155" t="s">
        <v>72</v>
      </c>
      <c r="G155">
        <v>3</v>
      </c>
      <c r="H155" t="s">
        <v>68</v>
      </c>
      <c r="I155" t="s">
        <v>46</v>
      </c>
    </row>
    <row r="156" spans="1:10">
      <c r="A156" t="s">
        <v>33</v>
      </c>
      <c r="B156" t="s">
        <v>206</v>
      </c>
      <c r="C156">
        <v>1</v>
      </c>
      <c r="D156">
        <v>3</v>
      </c>
      <c r="E156">
        <v>2</v>
      </c>
      <c r="F156" t="s">
        <v>113</v>
      </c>
      <c r="G156">
        <v>1</v>
      </c>
      <c r="H156" t="s">
        <v>64</v>
      </c>
      <c r="I156" t="s">
        <v>76</v>
      </c>
      <c r="J156" t="s">
        <v>68</v>
      </c>
    </row>
    <row r="157" spans="1:10">
      <c r="A157" t="s">
        <v>33</v>
      </c>
      <c r="B157" t="s">
        <v>207</v>
      </c>
      <c r="C157">
        <v>1</v>
      </c>
      <c r="D157">
        <v>3</v>
      </c>
      <c r="E157">
        <v>2</v>
      </c>
      <c r="F157" t="s">
        <v>113</v>
      </c>
      <c r="G157">
        <v>1</v>
      </c>
      <c r="H157" t="s">
        <v>64</v>
      </c>
      <c r="I157" t="s">
        <v>76</v>
      </c>
      <c r="J157" t="s">
        <v>70</v>
      </c>
    </row>
    <row r="158" spans="1:10">
      <c r="A158" t="s">
        <v>33</v>
      </c>
      <c r="B158" t="s">
        <v>208</v>
      </c>
      <c r="C158">
        <v>1</v>
      </c>
      <c r="D158">
        <v>3</v>
      </c>
      <c r="E158">
        <v>2</v>
      </c>
      <c r="F158" t="s">
        <v>113</v>
      </c>
      <c r="G158">
        <v>1</v>
      </c>
      <c r="H158" t="s">
        <v>64</v>
      </c>
      <c r="I158" t="s">
        <v>79</v>
      </c>
      <c r="J158" t="s">
        <v>70</v>
      </c>
    </row>
    <row r="159" spans="1:10">
      <c r="A159" t="s">
        <v>33</v>
      </c>
      <c r="B159" t="s">
        <v>209</v>
      </c>
      <c r="C159">
        <v>1</v>
      </c>
      <c r="D159">
        <v>3</v>
      </c>
      <c r="E159">
        <v>2</v>
      </c>
      <c r="F159" t="s">
        <v>113</v>
      </c>
      <c r="G159">
        <v>1</v>
      </c>
      <c r="H159" t="s">
        <v>66</v>
      </c>
      <c r="I159" t="s">
        <v>79</v>
      </c>
      <c r="J159" t="s">
        <v>70</v>
      </c>
    </row>
    <row r="160" spans="1:10">
      <c r="A160" t="s">
        <v>33</v>
      </c>
      <c r="B160" t="s">
        <v>210</v>
      </c>
      <c r="C160">
        <v>1</v>
      </c>
      <c r="D160">
        <v>3</v>
      </c>
      <c r="E160">
        <v>2</v>
      </c>
      <c r="F160" t="s">
        <v>113</v>
      </c>
      <c r="G160">
        <v>2</v>
      </c>
      <c r="H160" t="s">
        <v>66</v>
      </c>
      <c r="I160" t="s">
        <v>79</v>
      </c>
      <c r="J160" t="s">
        <v>70</v>
      </c>
    </row>
    <row r="161" spans="1:11">
      <c r="A161" t="s">
        <v>33</v>
      </c>
      <c r="B161" t="s">
        <v>211</v>
      </c>
      <c r="C161">
        <v>1</v>
      </c>
      <c r="D161">
        <v>3</v>
      </c>
      <c r="E161">
        <v>2</v>
      </c>
      <c r="F161" t="s">
        <v>63</v>
      </c>
      <c r="G161">
        <v>2</v>
      </c>
      <c r="H161" t="s">
        <v>66</v>
      </c>
      <c r="I161" t="s">
        <v>79</v>
      </c>
      <c r="J161" t="s">
        <v>70</v>
      </c>
    </row>
    <row r="162" spans="1:11">
      <c r="A162" t="s">
        <v>33</v>
      </c>
      <c r="B162" t="s">
        <v>212</v>
      </c>
      <c r="C162">
        <v>0</v>
      </c>
      <c r="D162">
        <v>3</v>
      </c>
      <c r="E162">
        <v>3</v>
      </c>
      <c r="F162" t="s">
        <v>113</v>
      </c>
      <c r="G162">
        <v>1</v>
      </c>
      <c r="H162" t="s">
        <v>64</v>
      </c>
      <c r="I162" t="s">
        <v>76</v>
      </c>
      <c r="J162">
        <v>4</v>
      </c>
      <c r="K162" t="s">
        <v>70</v>
      </c>
    </row>
    <row r="163" spans="1:11">
      <c r="A163" t="s">
        <v>33</v>
      </c>
      <c r="B163" t="s">
        <v>213</v>
      </c>
      <c r="C163">
        <v>2</v>
      </c>
      <c r="D163">
        <v>4</v>
      </c>
      <c r="E163">
        <v>0</v>
      </c>
      <c r="F163" t="s">
        <v>113</v>
      </c>
      <c r="G163">
        <v>1</v>
      </c>
      <c r="H163">
        <v>2</v>
      </c>
      <c r="I163" t="s">
        <v>66</v>
      </c>
      <c r="J163" t="s">
        <v>36</v>
      </c>
    </row>
    <row r="164" spans="1:11">
      <c r="A164" t="s">
        <v>33</v>
      </c>
      <c r="B164" t="s">
        <v>214</v>
      </c>
      <c r="C164">
        <v>2</v>
      </c>
      <c r="D164">
        <v>4</v>
      </c>
      <c r="E164">
        <v>0</v>
      </c>
      <c r="F164" t="s">
        <v>113</v>
      </c>
      <c r="G164">
        <v>1</v>
      </c>
      <c r="H164">
        <v>2</v>
      </c>
      <c r="I164" t="s">
        <v>68</v>
      </c>
      <c r="J164" t="s">
        <v>36</v>
      </c>
    </row>
    <row r="165" spans="1:11">
      <c r="A165" t="s">
        <v>33</v>
      </c>
      <c r="B165" t="s">
        <v>215</v>
      </c>
      <c r="C165">
        <v>2</v>
      </c>
      <c r="D165">
        <v>4</v>
      </c>
      <c r="E165">
        <v>0</v>
      </c>
      <c r="F165" t="s">
        <v>113</v>
      </c>
      <c r="G165">
        <v>1</v>
      </c>
      <c r="H165">
        <v>2</v>
      </c>
      <c r="I165" t="s">
        <v>70</v>
      </c>
      <c r="J165" t="s">
        <v>36</v>
      </c>
    </row>
    <row r="166" spans="1:11">
      <c r="A166" t="s">
        <v>33</v>
      </c>
      <c r="B166" t="s">
        <v>216</v>
      </c>
      <c r="C166">
        <v>2</v>
      </c>
      <c r="D166">
        <v>4</v>
      </c>
      <c r="E166">
        <v>0</v>
      </c>
      <c r="F166" t="s">
        <v>113</v>
      </c>
      <c r="G166">
        <v>1</v>
      </c>
      <c r="H166">
        <v>3</v>
      </c>
      <c r="I166" t="s">
        <v>68</v>
      </c>
      <c r="J166" t="s">
        <v>36</v>
      </c>
    </row>
    <row r="167" spans="1:11">
      <c r="A167" t="s">
        <v>33</v>
      </c>
      <c r="B167" t="s">
        <v>217</v>
      </c>
      <c r="C167">
        <v>2</v>
      </c>
      <c r="D167">
        <v>4</v>
      </c>
      <c r="E167">
        <v>0</v>
      </c>
      <c r="F167" t="s">
        <v>113</v>
      </c>
      <c r="G167">
        <v>1</v>
      </c>
      <c r="H167">
        <v>3</v>
      </c>
      <c r="I167" t="s">
        <v>70</v>
      </c>
      <c r="J167" t="s">
        <v>36</v>
      </c>
    </row>
    <row r="168" spans="1:11">
      <c r="A168" t="s">
        <v>33</v>
      </c>
      <c r="B168" t="s">
        <v>218</v>
      </c>
      <c r="C168">
        <v>2</v>
      </c>
      <c r="D168">
        <v>4</v>
      </c>
      <c r="E168">
        <v>0</v>
      </c>
      <c r="F168" t="s">
        <v>113</v>
      </c>
      <c r="G168">
        <v>1</v>
      </c>
      <c r="H168">
        <v>4</v>
      </c>
      <c r="I168" t="s">
        <v>70</v>
      </c>
      <c r="J168" t="s">
        <v>36</v>
      </c>
    </row>
    <row r="169" spans="1:11">
      <c r="A169" t="s">
        <v>33</v>
      </c>
      <c r="B169" t="s">
        <v>219</v>
      </c>
      <c r="C169">
        <v>2</v>
      </c>
      <c r="D169">
        <v>4</v>
      </c>
      <c r="E169">
        <v>0</v>
      </c>
      <c r="F169" t="s">
        <v>113</v>
      </c>
      <c r="G169">
        <v>2</v>
      </c>
      <c r="H169">
        <v>3</v>
      </c>
      <c r="I169" t="s">
        <v>68</v>
      </c>
      <c r="J169" t="s">
        <v>36</v>
      </c>
    </row>
    <row r="170" spans="1:11">
      <c r="A170" t="s">
        <v>33</v>
      </c>
      <c r="B170" t="s">
        <v>220</v>
      </c>
      <c r="C170">
        <v>2</v>
      </c>
      <c r="D170">
        <v>4</v>
      </c>
      <c r="E170">
        <v>0</v>
      </c>
      <c r="F170" t="s">
        <v>113</v>
      </c>
      <c r="G170">
        <v>2</v>
      </c>
      <c r="H170">
        <v>3</v>
      </c>
      <c r="I170" t="s">
        <v>70</v>
      </c>
      <c r="J170" t="s">
        <v>36</v>
      </c>
    </row>
    <row r="171" spans="1:11">
      <c r="A171" t="s">
        <v>33</v>
      </c>
      <c r="B171" t="s">
        <v>221</v>
      </c>
      <c r="C171">
        <v>2</v>
      </c>
      <c r="D171">
        <v>4</v>
      </c>
      <c r="E171">
        <v>0</v>
      </c>
      <c r="F171" t="s">
        <v>113</v>
      </c>
      <c r="G171">
        <v>2</v>
      </c>
      <c r="H171">
        <v>4</v>
      </c>
      <c r="I171" t="s">
        <v>70</v>
      </c>
      <c r="J171" t="s">
        <v>36</v>
      </c>
    </row>
    <row r="172" spans="1:11">
      <c r="A172" t="s">
        <v>33</v>
      </c>
      <c r="B172" t="s">
        <v>222</v>
      </c>
      <c r="C172">
        <v>2</v>
      </c>
      <c r="D172">
        <v>4</v>
      </c>
      <c r="E172">
        <v>0</v>
      </c>
      <c r="F172" t="s">
        <v>113</v>
      </c>
      <c r="G172">
        <v>3</v>
      </c>
      <c r="H172">
        <v>4</v>
      </c>
      <c r="I172" t="s">
        <v>70</v>
      </c>
      <c r="J172" t="s">
        <v>36</v>
      </c>
    </row>
    <row r="173" spans="1:11">
      <c r="A173" t="s">
        <v>33</v>
      </c>
      <c r="B173" t="s">
        <v>223</v>
      </c>
      <c r="C173">
        <v>2</v>
      </c>
      <c r="D173">
        <v>4</v>
      </c>
      <c r="E173">
        <v>0</v>
      </c>
      <c r="F173" t="s">
        <v>63</v>
      </c>
      <c r="G173">
        <v>2</v>
      </c>
      <c r="H173">
        <v>3</v>
      </c>
      <c r="I173" t="s">
        <v>68</v>
      </c>
      <c r="J173" t="s">
        <v>36</v>
      </c>
    </row>
    <row r="174" spans="1:11">
      <c r="A174" t="s">
        <v>33</v>
      </c>
      <c r="B174" t="s">
        <v>224</v>
      </c>
      <c r="C174">
        <v>2</v>
      </c>
      <c r="D174">
        <v>4</v>
      </c>
      <c r="E174">
        <v>0</v>
      </c>
      <c r="F174" t="s">
        <v>63</v>
      </c>
      <c r="G174">
        <v>2</v>
      </c>
      <c r="H174">
        <v>3</v>
      </c>
      <c r="I174" t="s">
        <v>70</v>
      </c>
      <c r="J174" t="s">
        <v>36</v>
      </c>
    </row>
    <row r="175" spans="1:11">
      <c r="A175" t="s">
        <v>33</v>
      </c>
      <c r="B175" t="s">
        <v>225</v>
      </c>
      <c r="C175">
        <v>2</v>
      </c>
      <c r="D175">
        <v>4</v>
      </c>
      <c r="E175">
        <v>0</v>
      </c>
      <c r="F175" t="s">
        <v>63</v>
      </c>
      <c r="G175">
        <v>2</v>
      </c>
      <c r="H175">
        <v>4</v>
      </c>
      <c r="I175" t="s">
        <v>70</v>
      </c>
      <c r="J175" t="s">
        <v>36</v>
      </c>
    </row>
    <row r="176" spans="1:11">
      <c r="A176" t="s">
        <v>33</v>
      </c>
      <c r="B176" t="s">
        <v>226</v>
      </c>
      <c r="C176">
        <v>2</v>
      </c>
      <c r="D176">
        <v>4</v>
      </c>
      <c r="E176">
        <v>0</v>
      </c>
      <c r="F176" t="s">
        <v>63</v>
      </c>
      <c r="G176">
        <v>3</v>
      </c>
      <c r="H176">
        <v>4</v>
      </c>
      <c r="I176" t="s">
        <v>70</v>
      </c>
      <c r="J176" t="s">
        <v>36</v>
      </c>
    </row>
    <row r="177" spans="1:12">
      <c r="A177" t="s">
        <v>33</v>
      </c>
      <c r="B177" t="s">
        <v>227</v>
      </c>
      <c r="C177">
        <v>2</v>
      </c>
      <c r="D177">
        <v>4</v>
      </c>
      <c r="E177">
        <v>0</v>
      </c>
      <c r="F177" t="s">
        <v>72</v>
      </c>
      <c r="G177">
        <v>3</v>
      </c>
      <c r="H177">
        <v>4</v>
      </c>
      <c r="I177" t="s">
        <v>70</v>
      </c>
      <c r="J177" t="s">
        <v>36</v>
      </c>
    </row>
    <row r="178" spans="1:12">
      <c r="A178" t="s">
        <v>33</v>
      </c>
      <c r="B178" t="s">
        <v>228</v>
      </c>
      <c r="C178">
        <v>1</v>
      </c>
      <c r="D178">
        <v>4</v>
      </c>
      <c r="E178">
        <v>1</v>
      </c>
      <c r="F178" t="s">
        <v>113</v>
      </c>
      <c r="G178">
        <v>1</v>
      </c>
      <c r="H178">
        <v>2</v>
      </c>
      <c r="I178" t="s">
        <v>66</v>
      </c>
      <c r="J178" t="s">
        <v>44</v>
      </c>
    </row>
    <row r="179" spans="1:12">
      <c r="A179" t="s">
        <v>33</v>
      </c>
      <c r="B179" t="s">
        <v>229</v>
      </c>
      <c r="C179">
        <v>1</v>
      </c>
      <c r="D179">
        <v>4</v>
      </c>
      <c r="E179">
        <v>1</v>
      </c>
      <c r="F179" t="s">
        <v>113</v>
      </c>
      <c r="G179">
        <v>1</v>
      </c>
      <c r="H179">
        <v>2</v>
      </c>
      <c r="I179" t="s">
        <v>66</v>
      </c>
      <c r="J179" t="s">
        <v>46</v>
      </c>
    </row>
    <row r="180" spans="1:12">
      <c r="A180" t="s">
        <v>33</v>
      </c>
      <c r="B180" t="s">
        <v>230</v>
      </c>
      <c r="C180">
        <v>1</v>
      </c>
      <c r="D180">
        <v>4</v>
      </c>
      <c r="E180">
        <v>1</v>
      </c>
      <c r="F180" t="s">
        <v>113</v>
      </c>
      <c r="G180">
        <v>1</v>
      </c>
      <c r="H180">
        <v>2</v>
      </c>
      <c r="I180" t="s">
        <v>68</v>
      </c>
      <c r="J180" t="s">
        <v>46</v>
      </c>
    </row>
    <row r="181" spans="1:12">
      <c r="A181" t="s">
        <v>33</v>
      </c>
      <c r="B181" t="s">
        <v>231</v>
      </c>
      <c r="C181">
        <v>1</v>
      </c>
      <c r="D181">
        <v>4</v>
      </c>
      <c r="E181">
        <v>1</v>
      </c>
      <c r="F181" t="s">
        <v>113</v>
      </c>
      <c r="G181">
        <v>1</v>
      </c>
      <c r="H181">
        <v>3</v>
      </c>
      <c r="I181" t="s">
        <v>68</v>
      </c>
      <c r="J181" t="s">
        <v>46</v>
      </c>
    </row>
    <row r="182" spans="1:12">
      <c r="A182" t="s">
        <v>33</v>
      </c>
      <c r="B182" t="s">
        <v>232</v>
      </c>
      <c r="C182">
        <v>1</v>
      </c>
      <c r="D182">
        <v>4</v>
      </c>
      <c r="E182">
        <v>1</v>
      </c>
      <c r="F182" t="s">
        <v>113</v>
      </c>
      <c r="G182">
        <v>2</v>
      </c>
      <c r="H182">
        <v>3</v>
      </c>
      <c r="I182" t="s">
        <v>68</v>
      </c>
      <c r="J182" t="s">
        <v>46</v>
      </c>
    </row>
    <row r="183" spans="1:12">
      <c r="A183" t="s">
        <v>33</v>
      </c>
      <c r="B183" t="s">
        <v>233</v>
      </c>
      <c r="C183">
        <v>1</v>
      </c>
      <c r="D183">
        <v>4</v>
      </c>
      <c r="E183">
        <v>1</v>
      </c>
      <c r="F183" t="s">
        <v>63</v>
      </c>
      <c r="G183">
        <v>2</v>
      </c>
      <c r="H183">
        <v>3</v>
      </c>
      <c r="I183" t="s">
        <v>68</v>
      </c>
      <c r="J183" t="s">
        <v>46</v>
      </c>
    </row>
    <row r="184" spans="1:12">
      <c r="A184" t="s">
        <v>33</v>
      </c>
      <c r="B184" t="s">
        <v>234</v>
      </c>
      <c r="C184">
        <v>0</v>
      </c>
      <c r="D184">
        <v>4</v>
      </c>
      <c r="E184">
        <v>2</v>
      </c>
      <c r="F184" t="s">
        <v>113</v>
      </c>
      <c r="G184">
        <v>1</v>
      </c>
      <c r="H184">
        <v>2</v>
      </c>
      <c r="I184" t="s">
        <v>66</v>
      </c>
      <c r="J184" t="s">
        <v>79</v>
      </c>
      <c r="K184" t="s">
        <v>70</v>
      </c>
    </row>
    <row r="185" spans="1:12">
      <c r="A185" t="s">
        <v>33</v>
      </c>
      <c r="B185" t="s">
        <v>235</v>
      </c>
      <c r="C185">
        <v>1</v>
      </c>
      <c r="D185">
        <v>5</v>
      </c>
      <c r="E185">
        <v>0</v>
      </c>
      <c r="F185" t="s">
        <v>113</v>
      </c>
      <c r="G185">
        <v>1</v>
      </c>
      <c r="H185">
        <v>2</v>
      </c>
      <c r="I185">
        <v>3</v>
      </c>
      <c r="J185" t="s">
        <v>68</v>
      </c>
      <c r="K185" t="s">
        <v>36</v>
      </c>
    </row>
    <row r="186" spans="1:12">
      <c r="A186" t="s">
        <v>33</v>
      </c>
      <c r="B186" t="s">
        <v>236</v>
      </c>
      <c r="C186">
        <v>1</v>
      </c>
      <c r="D186">
        <v>5</v>
      </c>
      <c r="E186">
        <v>0</v>
      </c>
      <c r="F186" t="s">
        <v>113</v>
      </c>
      <c r="G186">
        <v>1</v>
      </c>
      <c r="H186">
        <v>2</v>
      </c>
      <c r="I186">
        <v>3</v>
      </c>
      <c r="J186" t="s">
        <v>70</v>
      </c>
      <c r="K186" t="s">
        <v>36</v>
      </c>
    </row>
    <row r="187" spans="1:12">
      <c r="A187" t="s">
        <v>33</v>
      </c>
      <c r="B187" t="s">
        <v>237</v>
      </c>
      <c r="C187">
        <v>1</v>
      </c>
      <c r="D187">
        <v>5</v>
      </c>
      <c r="E187">
        <v>0</v>
      </c>
      <c r="F187" t="s">
        <v>113</v>
      </c>
      <c r="G187">
        <v>1</v>
      </c>
      <c r="H187">
        <v>2</v>
      </c>
      <c r="I187">
        <v>4</v>
      </c>
      <c r="J187" t="s">
        <v>70</v>
      </c>
      <c r="K187" t="s">
        <v>36</v>
      </c>
    </row>
    <row r="188" spans="1:12">
      <c r="A188" t="s">
        <v>33</v>
      </c>
      <c r="B188" t="s">
        <v>238</v>
      </c>
      <c r="C188">
        <v>1</v>
      </c>
      <c r="D188">
        <v>5</v>
      </c>
      <c r="E188">
        <v>0</v>
      </c>
      <c r="F188" t="s">
        <v>113</v>
      </c>
      <c r="G188">
        <v>1</v>
      </c>
      <c r="H188">
        <v>3</v>
      </c>
      <c r="I188">
        <v>4</v>
      </c>
      <c r="J188" t="s">
        <v>70</v>
      </c>
      <c r="K188" t="s">
        <v>36</v>
      </c>
    </row>
    <row r="189" spans="1:12">
      <c r="A189" t="s">
        <v>33</v>
      </c>
      <c r="B189" t="s">
        <v>239</v>
      </c>
      <c r="C189">
        <v>1</v>
      </c>
      <c r="D189">
        <v>5</v>
      </c>
      <c r="E189">
        <v>0</v>
      </c>
      <c r="F189" t="s">
        <v>113</v>
      </c>
      <c r="G189">
        <v>2</v>
      </c>
      <c r="H189">
        <v>3</v>
      </c>
      <c r="I189">
        <v>4</v>
      </c>
      <c r="J189" t="s">
        <v>70</v>
      </c>
      <c r="K189" t="s">
        <v>36</v>
      </c>
    </row>
    <row r="190" spans="1:12">
      <c r="A190" t="s">
        <v>33</v>
      </c>
      <c r="B190" t="s">
        <v>240</v>
      </c>
      <c r="C190">
        <v>1</v>
      </c>
      <c r="D190">
        <v>5</v>
      </c>
      <c r="E190">
        <v>0</v>
      </c>
      <c r="F190" t="s">
        <v>63</v>
      </c>
      <c r="G190">
        <v>2</v>
      </c>
      <c r="H190">
        <v>3</v>
      </c>
      <c r="I190">
        <v>4</v>
      </c>
      <c r="J190" t="s">
        <v>70</v>
      </c>
      <c r="K190" t="s">
        <v>36</v>
      </c>
    </row>
    <row r="191" spans="1:12">
      <c r="A191" t="s">
        <v>33</v>
      </c>
      <c r="B191" t="s">
        <v>241</v>
      </c>
      <c r="C191">
        <v>0</v>
      </c>
      <c r="D191">
        <v>5</v>
      </c>
      <c r="E191">
        <v>1</v>
      </c>
      <c r="F191" t="s">
        <v>113</v>
      </c>
      <c r="G191">
        <v>1</v>
      </c>
      <c r="H191">
        <v>2</v>
      </c>
      <c r="I191">
        <v>3</v>
      </c>
      <c r="J191" t="s">
        <v>68</v>
      </c>
      <c r="K191" t="s">
        <v>46</v>
      </c>
    </row>
    <row r="192" spans="1:12">
      <c r="A192" t="s">
        <v>33</v>
      </c>
      <c r="B192" t="s">
        <v>242</v>
      </c>
      <c r="C192">
        <v>0</v>
      </c>
      <c r="D192">
        <v>6</v>
      </c>
      <c r="E192">
        <v>0</v>
      </c>
      <c r="F192" t="s">
        <v>113</v>
      </c>
      <c r="G192">
        <v>1</v>
      </c>
      <c r="H192">
        <v>2</v>
      </c>
      <c r="I192">
        <v>3</v>
      </c>
      <c r="J192">
        <v>4</v>
      </c>
      <c r="K192" t="s">
        <v>70</v>
      </c>
      <c r="L19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yale chen</dc:creator>
  <cp:lastModifiedBy>yale chen</cp:lastModifiedBy>
  <dcterms:created xsi:type="dcterms:W3CDTF">2015-06-05T18:17:20Z</dcterms:created>
  <dcterms:modified xsi:type="dcterms:W3CDTF">2024-12-04T13:19:46Z</dcterms:modified>
</cp:coreProperties>
</file>